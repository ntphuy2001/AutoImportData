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ungnva\Desktop\Splus.PM\trunk\01_Timesheets_Management\01_Splus-SoftwareJP\202504\00.Template\"/>
    </mc:Choice>
  </mc:AlternateContent>
  <xr:revisionPtr revIDLastSave="0" documentId="13_ncr:1_{77FEBFDF-142A-471F-81D1-FE0BCD239395}" xr6:coauthVersionLast="47" xr6:coauthVersionMax="47" xr10:uidLastSave="{00000000-0000-0000-0000-000000000000}"/>
  <bookViews>
    <workbookView xWindow="-28920" yWindow="-120" windowWidth="29040" windowHeight="15840" tabRatio="842" activeTab="3" xr2:uid="{00000000-000D-0000-FFFF-FFFF00000000}"/>
  </bookViews>
  <sheets>
    <sheet name="使用方法" sheetId="46" r:id="rId1"/>
    <sheet name="設定" sheetId="12" r:id="rId2"/>
    <sheet name="勤怠管理表" sheetId="1" r:id="rId3"/>
    <sheet name="Hoang Duc Huy" sheetId="149" r:id="rId4"/>
    <sheet name="Duong Van Thanh" sheetId="150" r:id="rId5"/>
    <sheet name="Bui Khanh Huy" sheetId="151" r:id="rId6"/>
    <sheet name="Huynh Anh Du" sheetId="152" r:id="rId7"/>
    <sheet name="Nguyen Tan Quyen" sheetId="153" r:id="rId8"/>
    <sheet name="Tran Nhat Khue" sheetId="154" r:id="rId9"/>
    <sheet name="Phan Thi My Linh" sheetId="155" r:id="rId10"/>
    <sheet name="Truong Nguyen Yen Ly" sheetId="156" r:id="rId11"/>
    <sheet name="Doan Tu Quynh" sheetId="157" r:id="rId12"/>
    <sheet name="Do Ngoc Quang" sheetId="158" r:id="rId13"/>
    <sheet name="Pham Van Duy" sheetId="159" r:id="rId14"/>
    <sheet name="Nguyen Cong Hiep" sheetId="160" r:id="rId15"/>
    <sheet name="Truong Trong Thanh" sheetId="161" r:id="rId16"/>
    <sheet name="Vo Thanh Phong" sheetId="162" r:id="rId17"/>
    <sheet name="Hoang Thi Loc" sheetId="163" r:id="rId18"/>
    <sheet name="Nguyen Hong Tu" sheetId="164" r:id="rId19"/>
    <sheet name="Phan Minh Tri" sheetId="165" r:id="rId20"/>
    <sheet name="Do Thanh Tai" sheetId="166" r:id="rId21"/>
    <sheet name="Dinh Phuong Nam" sheetId="167" r:id="rId22"/>
    <sheet name="Nguyen Thi Tuyet Nhung" sheetId="168" r:id="rId23"/>
    <sheet name="Hoang Thi Bao Tran" sheetId="169" r:id="rId24"/>
    <sheet name="Khong Huu Toan" sheetId="216" r:id="rId25"/>
    <sheet name="Nguyen Le Phu Thinh" sheetId="171" r:id="rId26"/>
    <sheet name="Le Thi Yen Nguyet" sheetId="191" r:id="rId27"/>
    <sheet name="Nguyen Tran Hoai Phong" sheetId="213" r:id="rId28"/>
    <sheet name="Doan Thi Truc Quyen" sheetId="210" r:id="rId29"/>
    <sheet name="Ta Ly Minh" sheetId="211" r:id="rId30"/>
    <sheet name="Le Cao Tuan Anh" sheetId="212" r:id="rId31"/>
    <sheet name="Nguyen Phuoc Hao" sheetId="214" r:id="rId32"/>
    <sheet name="Nguyen Chi Linh" sheetId="215" r:id="rId33"/>
    <sheet name="Hoang Quoc Tu" sheetId="217" r:id="rId34"/>
    <sheet name="Le Trach Dinh" sheetId="192" r:id="rId35"/>
    <sheet name="Nguyen Thien An" sheetId="193" r:id="rId36"/>
    <sheet name="Nguyen Trieu Duong" sheetId="194" r:id="rId37"/>
    <sheet name="Nguyen Hai Yen" sheetId="195" r:id="rId38"/>
    <sheet name="Do Van Vinh" sheetId="196" r:id="rId39"/>
    <sheet name="Nguyen Anh Kiet" sheetId="197" r:id="rId40"/>
    <sheet name="Le Van Quy" sheetId="198" r:id="rId41"/>
    <sheet name="Nguyen Duc Thien" sheetId="199" r:id="rId42"/>
    <sheet name="Le Tien Hai" sheetId="200" r:id="rId43"/>
    <sheet name="Nguyen Phuc Nguyen Chuong" sheetId="201" r:id="rId44"/>
    <sheet name="Le Anh Duy" sheetId="202" r:id="rId45"/>
    <sheet name="Tran Chi My" sheetId="203" r:id="rId46"/>
    <sheet name="Nguyen Van Hao" sheetId="204" r:id="rId47"/>
    <sheet name="Bui The Hung" sheetId="205" r:id="rId48"/>
    <sheet name="Nguyen Dung" sheetId="206" r:id="rId49"/>
    <sheet name="Tran Thai Duy" sheetId="207" r:id="rId50"/>
    <sheet name="Dang Trong Phu" sheetId="208" r:id="rId51"/>
    <sheet name="Nguyen Chi Bao" sheetId="218" r:id="rId52"/>
    <sheet name="Phan Vu Hoang Ngan" sheetId="219" r:id="rId53"/>
  </sheets>
  <definedNames>
    <definedName name="_xlnm.Print_Area" localSheetId="5">'Bui Khanh Huy'!$A$1:$M$42</definedName>
    <definedName name="_xlnm.Print_Area" localSheetId="47">'Bui The Hung'!$A$1:$M$42</definedName>
    <definedName name="_xlnm.Print_Area" localSheetId="50">'Dang Trong Phu'!$A$1:$M$42</definedName>
    <definedName name="_xlnm.Print_Area" localSheetId="21">'Dinh Phuong Nam'!$A$1:$M$42</definedName>
    <definedName name="_xlnm.Print_Area" localSheetId="12">'Do Ngoc Quang'!$A$1:$M$42</definedName>
    <definedName name="_xlnm.Print_Area" localSheetId="20">'Do Thanh Tai'!$A$1:$M$42</definedName>
    <definedName name="_xlnm.Print_Area" localSheetId="38">'Do Van Vinh'!$A$1:$M$42</definedName>
    <definedName name="_xlnm.Print_Area" localSheetId="28">'Doan Thi Truc Quyen'!$A$1:$M$42</definedName>
    <definedName name="_xlnm.Print_Area" localSheetId="11">'Doan Tu Quynh'!$A$1:$M$42</definedName>
    <definedName name="_xlnm.Print_Area" localSheetId="4">'Duong Van Thanh'!$A$1:$M$42</definedName>
    <definedName name="_xlnm.Print_Area" localSheetId="3">'Hoang Duc Huy'!$A$1:$M$42</definedName>
    <definedName name="_xlnm.Print_Area" localSheetId="33">'Hoang Quoc Tu'!$A$1:$M$42</definedName>
    <definedName name="_xlnm.Print_Area" localSheetId="23">'Hoang Thi Bao Tran'!$A$1:$M$42</definedName>
    <definedName name="_xlnm.Print_Area" localSheetId="17">'Hoang Thi Loc'!$A$1:$M$42</definedName>
    <definedName name="_xlnm.Print_Area" localSheetId="6">'Huynh Anh Du'!$A$1:$M$42</definedName>
    <definedName name="_xlnm.Print_Area" localSheetId="24">'Khong Huu Toan'!$A$1:$M$42</definedName>
    <definedName name="_xlnm.Print_Area" localSheetId="44">'Le Anh Duy'!$A$1:$M$42</definedName>
    <definedName name="_xlnm.Print_Area" localSheetId="30">'Le Cao Tuan Anh'!$A$1:$M$42</definedName>
    <definedName name="_xlnm.Print_Area" localSheetId="26">'Le Thi Yen Nguyet'!$A$1:$M$42</definedName>
    <definedName name="_xlnm.Print_Area" localSheetId="42">'Le Tien Hai'!$A$1:$M$42</definedName>
    <definedName name="_xlnm.Print_Area" localSheetId="34">'Le Trach Dinh'!$A$1:$M$42</definedName>
    <definedName name="_xlnm.Print_Area" localSheetId="40">'Le Van Quy'!$A$1:$M$42</definedName>
    <definedName name="_xlnm.Print_Area" localSheetId="39">'Nguyen Anh Kiet'!$A$1:$M$42</definedName>
    <definedName name="_xlnm.Print_Area" localSheetId="51">'Nguyen Chi Bao'!$A$1:$M$42</definedName>
    <definedName name="_xlnm.Print_Area" localSheetId="32">'Nguyen Chi Linh'!$A$1:$M$42</definedName>
    <definedName name="_xlnm.Print_Area" localSheetId="14">'Nguyen Cong Hiep'!$A$1:$M$42</definedName>
    <definedName name="_xlnm.Print_Area" localSheetId="41">'Nguyen Duc Thien'!$A$1:$M$42</definedName>
    <definedName name="_xlnm.Print_Area" localSheetId="48">'Nguyen Dung'!$A$1:$M$42</definedName>
    <definedName name="_xlnm.Print_Area" localSheetId="37">'Nguyen Hai Yen'!$A$1:$M$42</definedName>
    <definedName name="_xlnm.Print_Area" localSheetId="18">'Nguyen Hong Tu'!$A$1:$M$42</definedName>
    <definedName name="_xlnm.Print_Area" localSheetId="25">'Nguyen Le Phu Thinh'!$A$1:$M$42</definedName>
    <definedName name="_xlnm.Print_Area" localSheetId="43">'Nguyen Phuc Nguyen Chuong'!$A$1:$M$42</definedName>
    <definedName name="_xlnm.Print_Area" localSheetId="31">'Nguyen Phuoc Hao'!$A$1:$M$42</definedName>
    <definedName name="_xlnm.Print_Area" localSheetId="7">'Nguyen Tan Quyen'!$A$1:$M$42</definedName>
    <definedName name="_xlnm.Print_Area" localSheetId="22">'Nguyen Thi Tuyet Nhung'!$A$1:$M$42</definedName>
    <definedName name="_xlnm.Print_Area" localSheetId="35">'Nguyen Thien An'!$A$1:$M$42</definedName>
    <definedName name="_xlnm.Print_Area" localSheetId="27">'Nguyen Tran Hoai Phong'!$A$1:$M$42</definedName>
    <definedName name="_xlnm.Print_Area" localSheetId="36">'Nguyen Trieu Duong'!$A$1:$M$42</definedName>
    <definedName name="_xlnm.Print_Area" localSheetId="46">'Nguyen Van Hao'!$A$1:$M$42</definedName>
    <definedName name="_xlnm.Print_Area" localSheetId="13">'Pham Van Duy'!$A$1:$M$42</definedName>
    <definedName name="_xlnm.Print_Area" localSheetId="19">'Phan Minh Tri'!$A$1:$M$42</definedName>
    <definedName name="_xlnm.Print_Area" localSheetId="9">'Phan Thi My Linh'!$A$1:$M$42</definedName>
    <definedName name="_xlnm.Print_Area" localSheetId="52">'Phan Vu Hoang Ngan'!$A$1:$M$42</definedName>
    <definedName name="_xlnm.Print_Area" localSheetId="29">'Ta Ly Minh'!$A$1:$M$42</definedName>
    <definedName name="_xlnm.Print_Area" localSheetId="45">'Tran Chi My'!$A$1:$M$42</definedName>
    <definedName name="_xlnm.Print_Area" localSheetId="8">'Tran Nhat Khue'!$A$1:$M$42</definedName>
    <definedName name="_xlnm.Print_Area" localSheetId="49">'Tran Thai Duy'!$A$1:$M$42</definedName>
    <definedName name="_xlnm.Print_Area" localSheetId="10">'Truong Nguyen Yen Ly'!$A$1:$M$42</definedName>
    <definedName name="_xlnm.Print_Area" localSheetId="15">'Truong Trong Thanh'!$A$1:$M$42</definedName>
    <definedName name="_xlnm.Print_Area" localSheetId="16">'Vo Thanh Phong'!$A$1:$M$42</definedName>
    <definedName name="_xlnm.Print_Area" localSheetId="2">勤怠管理表!$A$1:$M$42</definedName>
    <definedName name="_xlnm.Print_Titles" localSheetId="5">'Bui Khanh Huy'!$A:$C</definedName>
    <definedName name="_xlnm.Print_Titles" localSheetId="47">'Bui The Hung'!$A:$C</definedName>
    <definedName name="_xlnm.Print_Titles" localSheetId="50">'Dang Trong Phu'!$A:$C</definedName>
    <definedName name="_xlnm.Print_Titles" localSheetId="21">'Dinh Phuong Nam'!$A:$C</definedName>
    <definedName name="_xlnm.Print_Titles" localSheetId="12">'Do Ngoc Quang'!$A:$C</definedName>
    <definedName name="_xlnm.Print_Titles" localSheetId="20">'Do Thanh Tai'!$A:$C</definedName>
    <definedName name="_xlnm.Print_Titles" localSheetId="38">'Do Van Vinh'!$A:$C</definedName>
    <definedName name="_xlnm.Print_Titles" localSheetId="28">'Doan Thi Truc Quyen'!$A:$C</definedName>
    <definedName name="_xlnm.Print_Titles" localSheetId="11">'Doan Tu Quynh'!$A:$C</definedName>
    <definedName name="_xlnm.Print_Titles" localSheetId="4">'Duong Van Thanh'!$A:$C</definedName>
    <definedName name="_xlnm.Print_Titles" localSheetId="3">'Hoang Duc Huy'!$A:$C</definedName>
    <definedName name="_xlnm.Print_Titles" localSheetId="33">'Hoang Quoc Tu'!$A:$C</definedName>
    <definedName name="_xlnm.Print_Titles" localSheetId="23">'Hoang Thi Bao Tran'!$A:$C</definedName>
    <definedName name="_xlnm.Print_Titles" localSheetId="17">'Hoang Thi Loc'!$A:$C</definedName>
    <definedName name="_xlnm.Print_Titles" localSheetId="6">'Huynh Anh Du'!$A:$C</definedName>
    <definedName name="_xlnm.Print_Titles" localSheetId="24">'Khong Huu Toan'!$A:$C</definedName>
    <definedName name="_xlnm.Print_Titles" localSheetId="44">'Le Anh Duy'!$A:$C</definedName>
    <definedName name="_xlnm.Print_Titles" localSheetId="30">'Le Cao Tuan Anh'!$A:$C</definedName>
    <definedName name="_xlnm.Print_Titles" localSheetId="26">'Le Thi Yen Nguyet'!$A:$C</definedName>
    <definedName name="_xlnm.Print_Titles" localSheetId="42">'Le Tien Hai'!$A:$C</definedName>
    <definedName name="_xlnm.Print_Titles" localSheetId="34">'Le Trach Dinh'!$A:$C</definedName>
    <definedName name="_xlnm.Print_Titles" localSheetId="40">'Le Van Quy'!$A:$C</definedName>
    <definedName name="_xlnm.Print_Titles" localSheetId="39">'Nguyen Anh Kiet'!$A:$C</definedName>
    <definedName name="_xlnm.Print_Titles" localSheetId="51">'Nguyen Chi Bao'!$A:$C</definedName>
    <definedName name="_xlnm.Print_Titles" localSheetId="32">'Nguyen Chi Linh'!$A:$C</definedName>
    <definedName name="_xlnm.Print_Titles" localSheetId="14">'Nguyen Cong Hiep'!$A:$C</definedName>
    <definedName name="_xlnm.Print_Titles" localSheetId="41">'Nguyen Duc Thien'!$A:$C</definedName>
    <definedName name="_xlnm.Print_Titles" localSheetId="48">'Nguyen Dung'!$A:$C</definedName>
    <definedName name="_xlnm.Print_Titles" localSheetId="37">'Nguyen Hai Yen'!$A:$C</definedName>
    <definedName name="_xlnm.Print_Titles" localSheetId="18">'Nguyen Hong Tu'!$A:$C</definedName>
    <definedName name="_xlnm.Print_Titles" localSheetId="25">'Nguyen Le Phu Thinh'!$A:$C</definedName>
    <definedName name="_xlnm.Print_Titles" localSheetId="43">'Nguyen Phuc Nguyen Chuong'!$A:$C</definedName>
    <definedName name="_xlnm.Print_Titles" localSheetId="31">'Nguyen Phuoc Hao'!$A:$C</definedName>
    <definedName name="_xlnm.Print_Titles" localSheetId="7">'Nguyen Tan Quyen'!$A:$C</definedName>
    <definedName name="_xlnm.Print_Titles" localSheetId="22">'Nguyen Thi Tuyet Nhung'!$A:$C</definedName>
    <definedName name="_xlnm.Print_Titles" localSheetId="35">'Nguyen Thien An'!$A:$C</definedName>
    <definedName name="_xlnm.Print_Titles" localSheetId="27">'Nguyen Tran Hoai Phong'!$A:$C</definedName>
    <definedName name="_xlnm.Print_Titles" localSheetId="36">'Nguyen Trieu Duong'!$A:$C</definedName>
    <definedName name="_xlnm.Print_Titles" localSheetId="46">'Nguyen Van Hao'!$A:$C</definedName>
    <definedName name="_xlnm.Print_Titles" localSheetId="13">'Pham Van Duy'!$A:$C</definedName>
    <definedName name="_xlnm.Print_Titles" localSheetId="19">'Phan Minh Tri'!$A:$C</definedName>
    <definedName name="_xlnm.Print_Titles" localSheetId="9">'Phan Thi My Linh'!$A:$C</definedName>
    <definedName name="_xlnm.Print_Titles" localSheetId="52">'Phan Vu Hoang Ngan'!$A:$C</definedName>
    <definedName name="_xlnm.Print_Titles" localSheetId="29">'Ta Ly Minh'!$A:$C</definedName>
    <definedName name="_xlnm.Print_Titles" localSheetId="45">'Tran Chi My'!$A:$C</definedName>
    <definedName name="_xlnm.Print_Titles" localSheetId="8">'Tran Nhat Khue'!$A:$C</definedName>
    <definedName name="_xlnm.Print_Titles" localSheetId="49">'Tran Thai Duy'!$A:$C</definedName>
    <definedName name="_xlnm.Print_Titles" localSheetId="10">'Truong Nguyen Yen Ly'!$A:$C</definedName>
    <definedName name="_xlnm.Print_Titles" localSheetId="15">'Truong Trong Thanh'!$A:$C</definedName>
    <definedName name="_xlnm.Print_Titles" localSheetId="16">'Vo Thanh Phong'!$A:$C</definedName>
    <definedName name="_xlnm.Print_Titles" localSheetId="2">勤怠管理表!$A:$C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1" i="219" l="1"/>
  <c r="I41" i="219"/>
  <c r="H41" i="219"/>
  <c r="E41" i="219"/>
  <c r="B41" i="219"/>
  <c r="C41" i="219" s="1"/>
  <c r="A41" i="219"/>
  <c r="J40" i="219"/>
  <c r="H40" i="219"/>
  <c r="I40" i="219" s="1"/>
  <c r="E40" i="219"/>
  <c r="B40" i="219"/>
  <c r="A40" i="219"/>
  <c r="J39" i="219"/>
  <c r="H39" i="219"/>
  <c r="I39" i="219" s="1"/>
  <c r="E39" i="219"/>
  <c r="B39" i="219"/>
  <c r="A39" i="219"/>
  <c r="C39" i="219" s="1"/>
  <c r="J38" i="219"/>
  <c r="H38" i="219"/>
  <c r="I38" i="219" s="1"/>
  <c r="E38" i="219"/>
  <c r="B38" i="219"/>
  <c r="A38" i="219"/>
  <c r="J37" i="219"/>
  <c r="I37" i="219"/>
  <c r="H37" i="219"/>
  <c r="E37" i="219"/>
  <c r="B37" i="219"/>
  <c r="A37" i="219"/>
  <c r="J36" i="219"/>
  <c r="H36" i="219"/>
  <c r="I36" i="219" s="1"/>
  <c r="E36" i="219"/>
  <c r="B36" i="219"/>
  <c r="A36" i="219"/>
  <c r="C36" i="219" s="1"/>
  <c r="J35" i="219"/>
  <c r="H35" i="219"/>
  <c r="I35" i="219" s="1"/>
  <c r="E35" i="219"/>
  <c r="B35" i="219"/>
  <c r="A35" i="219"/>
  <c r="C35" i="219" s="1"/>
  <c r="J34" i="219"/>
  <c r="I34" i="219"/>
  <c r="H34" i="219"/>
  <c r="E34" i="219"/>
  <c r="B34" i="219"/>
  <c r="A34" i="219"/>
  <c r="J33" i="219"/>
  <c r="I33" i="219"/>
  <c r="H33" i="219"/>
  <c r="E33" i="219"/>
  <c r="B33" i="219"/>
  <c r="C33" i="219" s="1"/>
  <c r="A33" i="219"/>
  <c r="J32" i="219"/>
  <c r="H32" i="219"/>
  <c r="I32" i="219" s="1"/>
  <c r="E32" i="219"/>
  <c r="B32" i="219"/>
  <c r="A32" i="219"/>
  <c r="C32" i="219" s="1"/>
  <c r="J31" i="219"/>
  <c r="H31" i="219"/>
  <c r="I31" i="219" s="1"/>
  <c r="E31" i="219"/>
  <c r="B31" i="219"/>
  <c r="A31" i="219"/>
  <c r="C31" i="219" s="1"/>
  <c r="J30" i="219"/>
  <c r="I30" i="219"/>
  <c r="H30" i="219"/>
  <c r="E30" i="219"/>
  <c r="B30" i="219"/>
  <c r="A30" i="219"/>
  <c r="J29" i="219"/>
  <c r="I29" i="219"/>
  <c r="H29" i="219"/>
  <c r="E29" i="219"/>
  <c r="B29" i="219"/>
  <c r="C29" i="219" s="1"/>
  <c r="A29" i="219"/>
  <c r="J28" i="219"/>
  <c r="H28" i="219"/>
  <c r="I28" i="219" s="1"/>
  <c r="E28" i="219"/>
  <c r="B28" i="219"/>
  <c r="A28" i="219"/>
  <c r="C28" i="219" s="1"/>
  <c r="J27" i="219"/>
  <c r="H27" i="219"/>
  <c r="I27" i="219" s="1"/>
  <c r="E27" i="219"/>
  <c r="B27" i="219"/>
  <c r="A27" i="219"/>
  <c r="C27" i="219" s="1"/>
  <c r="J26" i="219"/>
  <c r="I26" i="219"/>
  <c r="H26" i="219"/>
  <c r="E26" i="219"/>
  <c r="B26" i="219"/>
  <c r="A26" i="219"/>
  <c r="J25" i="219"/>
  <c r="I25" i="219"/>
  <c r="H25" i="219"/>
  <c r="E25" i="219"/>
  <c r="B25" i="219"/>
  <c r="C25" i="219" s="1"/>
  <c r="A25" i="219"/>
  <c r="J24" i="219"/>
  <c r="H24" i="219"/>
  <c r="I24" i="219" s="1"/>
  <c r="E24" i="219"/>
  <c r="B24" i="219"/>
  <c r="A24" i="219"/>
  <c r="C24" i="219" s="1"/>
  <c r="J23" i="219"/>
  <c r="H23" i="219"/>
  <c r="I23" i="219" s="1"/>
  <c r="E23" i="219"/>
  <c r="B23" i="219"/>
  <c r="A23" i="219"/>
  <c r="C23" i="219" s="1"/>
  <c r="J22" i="219"/>
  <c r="I22" i="219"/>
  <c r="H22" i="219"/>
  <c r="E22" i="219"/>
  <c r="B22" i="219"/>
  <c r="A22" i="219"/>
  <c r="J21" i="219"/>
  <c r="I21" i="219"/>
  <c r="H21" i="219"/>
  <c r="E21" i="219"/>
  <c r="B21" i="219"/>
  <c r="C21" i="219" s="1"/>
  <c r="A21" i="219"/>
  <c r="J20" i="219"/>
  <c r="H20" i="219"/>
  <c r="I20" i="219" s="1"/>
  <c r="E20" i="219"/>
  <c r="B20" i="219"/>
  <c r="A20" i="219"/>
  <c r="C20" i="219" s="1"/>
  <c r="J19" i="219"/>
  <c r="H19" i="219"/>
  <c r="I19" i="219" s="1"/>
  <c r="E19" i="219"/>
  <c r="B19" i="219"/>
  <c r="A19" i="219"/>
  <c r="C19" i="219" s="1"/>
  <c r="J18" i="219"/>
  <c r="I18" i="219"/>
  <c r="H18" i="219"/>
  <c r="E18" i="219"/>
  <c r="B18" i="219"/>
  <c r="A18" i="219"/>
  <c r="J17" i="219"/>
  <c r="I17" i="219"/>
  <c r="H17" i="219"/>
  <c r="E17" i="219"/>
  <c r="B17" i="219"/>
  <c r="C17" i="219" s="1"/>
  <c r="A17" i="219"/>
  <c r="J16" i="219"/>
  <c r="H16" i="219"/>
  <c r="I16" i="219" s="1"/>
  <c r="E16" i="219"/>
  <c r="B16" i="219"/>
  <c r="A16" i="219"/>
  <c r="C16" i="219" s="1"/>
  <c r="J15" i="219"/>
  <c r="H15" i="219"/>
  <c r="I15" i="219" s="1"/>
  <c r="E15" i="219"/>
  <c r="B15" i="219"/>
  <c r="A15" i="219"/>
  <c r="C15" i="219" s="1"/>
  <c r="J14" i="219"/>
  <c r="I14" i="219"/>
  <c r="H14" i="219"/>
  <c r="E14" i="219"/>
  <c r="B14" i="219"/>
  <c r="A14" i="219"/>
  <c r="J13" i="219"/>
  <c r="I13" i="219"/>
  <c r="H13" i="219"/>
  <c r="E13" i="219"/>
  <c r="B13" i="219"/>
  <c r="C13" i="219" s="1"/>
  <c r="A13" i="219"/>
  <c r="J12" i="219"/>
  <c r="H12" i="219"/>
  <c r="I12" i="219" s="1"/>
  <c r="E12" i="219"/>
  <c r="B12" i="219"/>
  <c r="A12" i="219"/>
  <c r="C12" i="219" s="1"/>
  <c r="J11" i="219"/>
  <c r="H11" i="219"/>
  <c r="I11" i="219" s="1"/>
  <c r="E11" i="219"/>
  <c r="B11" i="219"/>
  <c r="A11" i="219"/>
  <c r="C11" i="219" s="1"/>
  <c r="J10" i="219"/>
  <c r="J42" i="219" s="1"/>
  <c r="I10" i="219"/>
  <c r="H10" i="219"/>
  <c r="E10" i="219"/>
  <c r="B10" i="219"/>
  <c r="A10" i="219"/>
  <c r="M5" i="219"/>
  <c r="L5" i="219"/>
  <c r="K5" i="219"/>
  <c r="J5" i="219"/>
  <c r="I5" i="219"/>
  <c r="H5" i="219"/>
  <c r="D1" i="219"/>
  <c r="A1" i="219"/>
  <c r="C38" i="219" s="1"/>
  <c r="L9" i="12"/>
  <c r="J41" i="218"/>
  <c r="I41" i="218"/>
  <c r="H41" i="218"/>
  <c r="E41" i="218"/>
  <c r="B41" i="218"/>
  <c r="A41" i="218"/>
  <c r="C41" i="218" s="1"/>
  <c r="J40" i="218"/>
  <c r="H40" i="218"/>
  <c r="I40" i="218" s="1"/>
  <c r="E40" i="218"/>
  <c r="B40" i="218"/>
  <c r="A40" i="218"/>
  <c r="J39" i="218"/>
  <c r="H39" i="218"/>
  <c r="I39" i="218" s="1"/>
  <c r="E39" i="218"/>
  <c r="B39" i="218"/>
  <c r="A39" i="218"/>
  <c r="J38" i="218"/>
  <c r="H38" i="218"/>
  <c r="I38" i="218" s="1"/>
  <c r="E38" i="218"/>
  <c r="B38" i="218"/>
  <c r="A38" i="218"/>
  <c r="J37" i="218"/>
  <c r="I37" i="218"/>
  <c r="H37" i="218"/>
  <c r="E37" i="218"/>
  <c r="B37" i="218"/>
  <c r="A37" i="218"/>
  <c r="C37" i="218" s="1"/>
  <c r="J36" i="218"/>
  <c r="H36" i="218"/>
  <c r="I36" i="218" s="1"/>
  <c r="E36" i="218"/>
  <c r="B36" i="218"/>
  <c r="A36" i="218"/>
  <c r="C36" i="218" s="1"/>
  <c r="J35" i="218"/>
  <c r="I35" i="218"/>
  <c r="H35" i="218"/>
  <c r="E35" i="218"/>
  <c r="B35" i="218"/>
  <c r="A35" i="218"/>
  <c r="C35" i="218" s="1"/>
  <c r="J34" i="218"/>
  <c r="H34" i="218"/>
  <c r="I34" i="218" s="1"/>
  <c r="E34" i="218"/>
  <c r="B34" i="218"/>
  <c r="A34" i="218"/>
  <c r="J33" i="218"/>
  <c r="I33" i="218"/>
  <c r="H33" i="218"/>
  <c r="E33" i="218"/>
  <c r="B33" i="218"/>
  <c r="A33" i="218"/>
  <c r="C33" i="218" s="1"/>
  <c r="J32" i="218"/>
  <c r="H32" i="218"/>
  <c r="I32" i="218" s="1"/>
  <c r="E32" i="218"/>
  <c r="B32" i="218"/>
  <c r="A32" i="218"/>
  <c r="C32" i="218" s="1"/>
  <c r="J31" i="218"/>
  <c r="I31" i="218"/>
  <c r="H31" i="218"/>
  <c r="E31" i="218"/>
  <c r="B31" i="218"/>
  <c r="A31" i="218"/>
  <c r="C31" i="218" s="1"/>
  <c r="J30" i="218"/>
  <c r="H30" i="218"/>
  <c r="I30" i="218" s="1"/>
  <c r="E30" i="218"/>
  <c r="B30" i="218"/>
  <c r="A30" i="218"/>
  <c r="J29" i="218"/>
  <c r="I29" i="218"/>
  <c r="H29" i="218"/>
  <c r="E29" i="218"/>
  <c r="B29" i="218"/>
  <c r="A29" i="218"/>
  <c r="C29" i="218" s="1"/>
  <c r="J28" i="218"/>
  <c r="H28" i="218"/>
  <c r="I28" i="218" s="1"/>
  <c r="E28" i="218"/>
  <c r="B28" i="218"/>
  <c r="A28" i="218"/>
  <c r="C28" i="218" s="1"/>
  <c r="J27" i="218"/>
  <c r="I27" i="218"/>
  <c r="H27" i="218"/>
  <c r="E27" i="218"/>
  <c r="B27" i="218"/>
  <c r="A27" i="218"/>
  <c r="C27" i="218" s="1"/>
  <c r="J26" i="218"/>
  <c r="H26" i="218"/>
  <c r="I26" i="218" s="1"/>
  <c r="E26" i="218"/>
  <c r="B26" i="218"/>
  <c r="A26" i="218"/>
  <c r="J25" i="218"/>
  <c r="I25" i="218"/>
  <c r="H25" i="218"/>
  <c r="E25" i="218"/>
  <c r="B25" i="218"/>
  <c r="A25" i="218"/>
  <c r="C25" i="218" s="1"/>
  <c r="J24" i="218"/>
  <c r="H24" i="218"/>
  <c r="I24" i="218" s="1"/>
  <c r="E24" i="218"/>
  <c r="B24" i="218"/>
  <c r="A24" i="218"/>
  <c r="C24" i="218" s="1"/>
  <c r="J23" i="218"/>
  <c r="I23" i="218"/>
  <c r="H23" i="218"/>
  <c r="E23" i="218"/>
  <c r="B23" i="218"/>
  <c r="A23" i="218"/>
  <c r="C23" i="218" s="1"/>
  <c r="J22" i="218"/>
  <c r="H22" i="218"/>
  <c r="I22" i="218" s="1"/>
  <c r="E22" i="218"/>
  <c r="B22" i="218"/>
  <c r="A22" i="218"/>
  <c r="J21" i="218"/>
  <c r="I21" i="218"/>
  <c r="H21" i="218"/>
  <c r="E21" i="218"/>
  <c r="B21" i="218"/>
  <c r="A21" i="218"/>
  <c r="C21" i="218" s="1"/>
  <c r="J20" i="218"/>
  <c r="H20" i="218"/>
  <c r="I20" i="218" s="1"/>
  <c r="E20" i="218"/>
  <c r="B20" i="218"/>
  <c r="A20" i="218"/>
  <c r="C20" i="218" s="1"/>
  <c r="J19" i="218"/>
  <c r="I19" i="218"/>
  <c r="H19" i="218"/>
  <c r="E19" i="218"/>
  <c r="B19" i="218"/>
  <c r="A19" i="218"/>
  <c r="J18" i="218"/>
  <c r="H18" i="218"/>
  <c r="I18" i="218" s="1"/>
  <c r="E18" i="218"/>
  <c r="B18" i="218"/>
  <c r="A18" i="218"/>
  <c r="J17" i="218"/>
  <c r="I17" i="218"/>
  <c r="H17" i="218"/>
  <c r="E17" i="218"/>
  <c r="B17" i="218"/>
  <c r="A17" i="218"/>
  <c r="C17" i="218" s="1"/>
  <c r="J16" i="218"/>
  <c r="H16" i="218"/>
  <c r="I16" i="218" s="1"/>
  <c r="E16" i="218"/>
  <c r="B16" i="218"/>
  <c r="A16" i="218"/>
  <c r="C16" i="218" s="1"/>
  <c r="J15" i="218"/>
  <c r="I15" i="218"/>
  <c r="H15" i="218"/>
  <c r="E15" i="218"/>
  <c r="B15" i="218"/>
  <c r="A15" i="218"/>
  <c r="J14" i="218"/>
  <c r="H14" i="218"/>
  <c r="I14" i="218" s="1"/>
  <c r="E14" i="218"/>
  <c r="B14" i="218"/>
  <c r="A14" i="218"/>
  <c r="J13" i="218"/>
  <c r="I13" i="218"/>
  <c r="H13" i="218"/>
  <c r="E13" i="218"/>
  <c r="B13" i="218"/>
  <c r="A13" i="218"/>
  <c r="C13" i="218" s="1"/>
  <c r="J12" i="218"/>
  <c r="H12" i="218"/>
  <c r="I12" i="218" s="1"/>
  <c r="E12" i="218"/>
  <c r="B12" i="218"/>
  <c r="A12" i="218"/>
  <c r="C12" i="218" s="1"/>
  <c r="J11" i="218"/>
  <c r="I11" i="218"/>
  <c r="H11" i="218"/>
  <c r="E11" i="218"/>
  <c r="B11" i="218"/>
  <c r="A11" i="218"/>
  <c r="J10" i="218"/>
  <c r="J42" i="218" s="1"/>
  <c r="H10" i="218"/>
  <c r="I10" i="218" s="1"/>
  <c r="E10" i="218"/>
  <c r="B10" i="218"/>
  <c r="A10" i="218"/>
  <c r="M5" i="218"/>
  <c r="L5" i="218"/>
  <c r="K5" i="218"/>
  <c r="J5" i="218"/>
  <c r="I5" i="218"/>
  <c r="H5" i="218"/>
  <c r="D1" i="218"/>
  <c r="A1" i="218"/>
  <c r="C34" i="218" s="1"/>
  <c r="J41" i="217"/>
  <c r="I41" i="217"/>
  <c r="H41" i="217"/>
  <c r="E41" i="217"/>
  <c r="B41" i="217"/>
  <c r="A41" i="217"/>
  <c r="C41" i="217" s="1"/>
  <c r="J40" i="217"/>
  <c r="H40" i="217"/>
  <c r="I40" i="217" s="1"/>
  <c r="E40" i="217"/>
  <c r="B40" i="217"/>
  <c r="A40" i="217"/>
  <c r="C40" i="217" s="1"/>
  <c r="J39" i="217"/>
  <c r="H39" i="217"/>
  <c r="I39" i="217" s="1"/>
  <c r="E39" i="217"/>
  <c r="B39" i="217"/>
  <c r="A39" i="217"/>
  <c r="J38" i="217"/>
  <c r="I38" i="217"/>
  <c r="H38" i="217"/>
  <c r="E38" i="217"/>
  <c r="B38" i="217"/>
  <c r="A38" i="217"/>
  <c r="J37" i="217"/>
  <c r="I37" i="217"/>
  <c r="H37" i="217"/>
  <c r="E37" i="217"/>
  <c r="B37" i="217"/>
  <c r="A37" i="217"/>
  <c r="C37" i="217" s="1"/>
  <c r="J36" i="217"/>
  <c r="H36" i="217"/>
  <c r="I36" i="217" s="1"/>
  <c r="E36" i="217"/>
  <c r="B36" i="217"/>
  <c r="A36" i="217"/>
  <c r="C36" i="217" s="1"/>
  <c r="J35" i="217"/>
  <c r="H35" i="217"/>
  <c r="I35" i="217" s="1"/>
  <c r="E35" i="217"/>
  <c r="B35" i="217"/>
  <c r="A35" i="217"/>
  <c r="J34" i="217"/>
  <c r="I34" i="217"/>
  <c r="H34" i="217"/>
  <c r="E34" i="217"/>
  <c r="B34" i="217"/>
  <c r="A34" i="217"/>
  <c r="J33" i="217"/>
  <c r="I33" i="217"/>
  <c r="H33" i="217"/>
  <c r="E33" i="217"/>
  <c r="B33" i="217"/>
  <c r="A33" i="217"/>
  <c r="C33" i="217" s="1"/>
  <c r="J32" i="217"/>
  <c r="H32" i="217"/>
  <c r="I32" i="217" s="1"/>
  <c r="E32" i="217"/>
  <c r="B32" i="217"/>
  <c r="A32" i="217"/>
  <c r="C32" i="217" s="1"/>
  <c r="J31" i="217"/>
  <c r="H31" i="217"/>
  <c r="I31" i="217" s="1"/>
  <c r="E31" i="217"/>
  <c r="B31" i="217"/>
  <c r="A31" i="217"/>
  <c r="J30" i="217"/>
  <c r="I30" i="217"/>
  <c r="H30" i="217"/>
  <c r="E30" i="217"/>
  <c r="B30" i="217"/>
  <c r="A30" i="217"/>
  <c r="J29" i="217"/>
  <c r="I29" i="217"/>
  <c r="H29" i="217"/>
  <c r="E29" i="217"/>
  <c r="B29" i="217"/>
  <c r="A29" i="217"/>
  <c r="C29" i="217" s="1"/>
  <c r="J28" i="217"/>
  <c r="H28" i="217"/>
  <c r="I28" i="217" s="1"/>
  <c r="E28" i="217"/>
  <c r="B28" i="217"/>
  <c r="A28" i="217"/>
  <c r="C28" i="217" s="1"/>
  <c r="J27" i="217"/>
  <c r="H27" i="217"/>
  <c r="I27" i="217" s="1"/>
  <c r="E27" i="217"/>
  <c r="B27" i="217"/>
  <c r="A27" i="217"/>
  <c r="J26" i="217"/>
  <c r="I26" i="217"/>
  <c r="H26" i="217"/>
  <c r="E26" i="217"/>
  <c r="B26" i="217"/>
  <c r="A26" i="217"/>
  <c r="J25" i="217"/>
  <c r="I25" i="217"/>
  <c r="H25" i="217"/>
  <c r="E25" i="217"/>
  <c r="B25" i="217"/>
  <c r="A25" i="217"/>
  <c r="C25" i="217" s="1"/>
  <c r="J24" i="217"/>
  <c r="H24" i="217"/>
  <c r="I24" i="217" s="1"/>
  <c r="E24" i="217"/>
  <c r="B24" i="217"/>
  <c r="A24" i="217"/>
  <c r="C24" i="217" s="1"/>
  <c r="J23" i="217"/>
  <c r="H23" i="217"/>
  <c r="I23" i="217" s="1"/>
  <c r="E23" i="217"/>
  <c r="B23" i="217"/>
  <c r="A23" i="217"/>
  <c r="J22" i="217"/>
  <c r="I22" i="217"/>
  <c r="H22" i="217"/>
  <c r="E22" i="217"/>
  <c r="B22" i="217"/>
  <c r="A22" i="217"/>
  <c r="J21" i="217"/>
  <c r="I21" i="217"/>
  <c r="H21" i="217"/>
  <c r="E21" i="217"/>
  <c r="B21" i="217"/>
  <c r="A21" i="217"/>
  <c r="C21" i="217" s="1"/>
  <c r="J20" i="217"/>
  <c r="H20" i="217"/>
  <c r="I20" i="217" s="1"/>
  <c r="E20" i="217"/>
  <c r="B20" i="217"/>
  <c r="A20" i="217"/>
  <c r="C20" i="217" s="1"/>
  <c r="J19" i="217"/>
  <c r="H19" i="217"/>
  <c r="I19" i="217" s="1"/>
  <c r="E19" i="217"/>
  <c r="B19" i="217"/>
  <c r="A19" i="217"/>
  <c r="J18" i="217"/>
  <c r="I18" i="217"/>
  <c r="H18" i="217"/>
  <c r="E18" i="217"/>
  <c r="B18" i="217"/>
  <c r="A18" i="217"/>
  <c r="J17" i="217"/>
  <c r="I17" i="217"/>
  <c r="H17" i="217"/>
  <c r="E17" i="217"/>
  <c r="B17" i="217"/>
  <c r="A17" i="217"/>
  <c r="C17" i="217" s="1"/>
  <c r="J16" i="217"/>
  <c r="H16" i="217"/>
  <c r="I16" i="217" s="1"/>
  <c r="E16" i="217"/>
  <c r="B16" i="217"/>
  <c r="A16" i="217"/>
  <c r="C16" i="217" s="1"/>
  <c r="J15" i="217"/>
  <c r="H15" i="217"/>
  <c r="I15" i="217" s="1"/>
  <c r="E15" i="217"/>
  <c r="B15" i="217"/>
  <c r="A15" i="217"/>
  <c r="J14" i="217"/>
  <c r="I14" i="217"/>
  <c r="H14" i="217"/>
  <c r="E14" i="217"/>
  <c r="B14" i="217"/>
  <c r="A14" i="217"/>
  <c r="J13" i="217"/>
  <c r="I13" i="217"/>
  <c r="H13" i="217"/>
  <c r="E13" i="217"/>
  <c r="B13" i="217"/>
  <c r="A13" i="217"/>
  <c r="C13" i="217" s="1"/>
  <c r="J12" i="217"/>
  <c r="H12" i="217"/>
  <c r="I12" i="217" s="1"/>
  <c r="E12" i="217"/>
  <c r="B12" i="217"/>
  <c r="A12" i="217"/>
  <c r="C12" i="217" s="1"/>
  <c r="J11" i="217"/>
  <c r="H11" i="217"/>
  <c r="I11" i="217" s="1"/>
  <c r="E11" i="217"/>
  <c r="B11" i="217"/>
  <c r="A11" i="217"/>
  <c r="J10" i="217"/>
  <c r="J42" i="217" s="1"/>
  <c r="I10" i="217"/>
  <c r="H10" i="217"/>
  <c r="E10" i="217"/>
  <c r="B10" i="217"/>
  <c r="A10" i="217"/>
  <c r="M5" i="217"/>
  <c r="L5" i="217"/>
  <c r="K5" i="217"/>
  <c r="J5" i="217"/>
  <c r="I5" i="217"/>
  <c r="H5" i="217"/>
  <c r="D1" i="217"/>
  <c r="A1" i="217"/>
  <c r="C39" i="217" s="1"/>
  <c r="J41" i="216"/>
  <c r="H41" i="216"/>
  <c r="I41" i="216" s="1"/>
  <c r="E41" i="216"/>
  <c r="B41" i="216"/>
  <c r="A41" i="216"/>
  <c r="C41" i="216" s="1"/>
  <c r="J40" i="216"/>
  <c r="H40" i="216"/>
  <c r="I40" i="216" s="1"/>
  <c r="E40" i="216"/>
  <c r="C40" i="216"/>
  <c r="B40" i="216"/>
  <c r="A40" i="216"/>
  <c r="J39" i="216"/>
  <c r="I39" i="216"/>
  <c r="H39" i="216"/>
  <c r="E39" i="216"/>
  <c r="B39" i="216"/>
  <c r="A39" i="216"/>
  <c r="J38" i="216"/>
  <c r="H38" i="216"/>
  <c r="I38" i="216" s="1"/>
  <c r="E38" i="216"/>
  <c r="B38" i="216"/>
  <c r="A38" i="216"/>
  <c r="C38" i="216" s="1"/>
  <c r="J37" i="216"/>
  <c r="H37" i="216"/>
  <c r="I37" i="216" s="1"/>
  <c r="E37" i="216"/>
  <c r="B37" i="216"/>
  <c r="A37" i="216"/>
  <c r="C37" i="216" s="1"/>
  <c r="J36" i="216"/>
  <c r="H36" i="216"/>
  <c r="I36" i="216" s="1"/>
  <c r="E36" i="216"/>
  <c r="B36" i="216"/>
  <c r="A36" i="216"/>
  <c r="C36" i="216" s="1"/>
  <c r="J35" i="216"/>
  <c r="I35" i="216"/>
  <c r="H35" i="216"/>
  <c r="E35" i="216"/>
  <c r="B35" i="216"/>
  <c r="A35" i="216"/>
  <c r="J34" i="216"/>
  <c r="H34" i="216"/>
  <c r="I34" i="216" s="1"/>
  <c r="E34" i="216"/>
  <c r="B34" i="216"/>
  <c r="A34" i="216"/>
  <c r="C34" i="216" s="1"/>
  <c r="J33" i="216"/>
  <c r="H33" i="216"/>
  <c r="I33" i="216" s="1"/>
  <c r="E33" i="216"/>
  <c r="B33" i="216"/>
  <c r="A33" i="216"/>
  <c r="C33" i="216" s="1"/>
  <c r="J32" i="216"/>
  <c r="H32" i="216"/>
  <c r="I32" i="216" s="1"/>
  <c r="E32" i="216"/>
  <c r="C32" i="216"/>
  <c r="B32" i="216"/>
  <c r="A32" i="216"/>
  <c r="J31" i="216"/>
  <c r="I31" i="216"/>
  <c r="H31" i="216"/>
  <c r="E31" i="216"/>
  <c r="B31" i="216"/>
  <c r="A31" i="216"/>
  <c r="J30" i="216"/>
  <c r="H30" i="216"/>
  <c r="I30" i="216" s="1"/>
  <c r="E30" i="216"/>
  <c r="B30" i="216"/>
  <c r="A30" i="216"/>
  <c r="C30" i="216" s="1"/>
  <c r="J29" i="216"/>
  <c r="H29" i="216"/>
  <c r="I29" i="216" s="1"/>
  <c r="E29" i="216"/>
  <c r="B29" i="216"/>
  <c r="A29" i="216"/>
  <c r="C29" i="216" s="1"/>
  <c r="J28" i="216"/>
  <c r="H28" i="216"/>
  <c r="I28" i="216" s="1"/>
  <c r="E28" i="216"/>
  <c r="B28" i="216"/>
  <c r="A28" i="216"/>
  <c r="C28" i="216" s="1"/>
  <c r="J27" i="216"/>
  <c r="I27" i="216"/>
  <c r="H27" i="216"/>
  <c r="E27" i="216"/>
  <c r="B27" i="216"/>
  <c r="A27" i="216"/>
  <c r="J26" i="216"/>
  <c r="H26" i="216"/>
  <c r="I26" i="216" s="1"/>
  <c r="E26" i="216"/>
  <c r="B26" i="216"/>
  <c r="A26" i="216"/>
  <c r="C26" i="216" s="1"/>
  <c r="J25" i="216"/>
  <c r="H25" i="216"/>
  <c r="I25" i="216" s="1"/>
  <c r="E25" i="216"/>
  <c r="B25" i="216"/>
  <c r="A25" i="216"/>
  <c r="C25" i="216" s="1"/>
  <c r="J24" i="216"/>
  <c r="H24" i="216"/>
  <c r="I24" i="216" s="1"/>
  <c r="E24" i="216"/>
  <c r="C24" i="216"/>
  <c r="B24" i="216"/>
  <c r="A24" i="216"/>
  <c r="J23" i="216"/>
  <c r="I23" i="216"/>
  <c r="H23" i="216"/>
  <c r="E23" i="216"/>
  <c r="B23" i="216"/>
  <c r="A23" i="216"/>
  <c r="J22" i="216"/>
  <c r="H22" i="216"/>
  <c r="I22" i="216" s="1"/>
  <c r="E22" i="216"/>
  <c r="B22" i="216"/>
  <c r="A22" i="216"/>
  <c r="C22" i="216" s="1"/>
  <c r="J21" i="216"/>
  <c r="H21" i="216"/>
  <c r="I21" i="216" s="1"/>
  <c r="E21" i="216"/>
  <c r="B21" i="216"/>
  <c r="A21" i="216"/>
  <c r="C21" i="216" s="1"/>
  <c r="J20" i="216"/>
  <c r="H20" i="216"/>
  <c r="I20" i="216" s="1"/>
  <c r="E20" i="216"/>
  <c r="B20" i="216"/>
  <c r="A20" i="216"/>
  <c r="C20" i="216" s="1"/>
  <c r="J19" i="216"/>
  <c r="I19" i="216"/>
  <c r="H19" i="216"/>
  <c r="E19" i="216"/>
  <c r="B19" i="216"/>
  <c r="A19" i="216"/>
  <c r="J18" i="216"/>
  <c r="H18" i="216"/>
  <c r="I18" i="216" s="1"/>
  <c r="E18" i="216"/>
  <c r="B18" i="216"/>
  <c r="A18" i="216"/>
  <c r="C18" i="216" s="1"/>
  <c r="J17" i="216"/>
  <c r="H17" i="216"/>
  <c r="I17" i="216" s="1"/>
  <c r="E17" i="216"/>
  <c r="B17" i="216"/>
  <c r="A17" i="216"/>
  <c r="C17" i="216" s="1"/>
  <c r="J16" i="216"/>
  <c r="H16" i="216"/>
  <c r="I16" i="216" s="1"/>
  <c r="E16" i="216"/>
  <c r="C16" i="216"/>
  <c r="B16" i="216"/>
  <c r="A16" i="216"/>
  <c r="J15" i="216"/>
  <c r="I15" i="216"/>
  <c r="H15" i="216"/>
  <c r="E15" i="216"/>
  <c r="B15" i="216"/>
  <c r="A15" i="216"/>
  <c r="J14" i="216"/>
  <c r="H14" i="216"/>
  <c r="I14" i="216" s="1"/>
  <c r="E14" i="216"/>
  <c r="B14" i="216"/>
  <c r="A14" i="216"/>
  <c r="C14" i="216" s="1"/>
  <c r="J13" i="216"/>
  <c r="H13" i="216"/>
  <c r="I13" i="216" s="1"/>
  <c r="E13" i="216"/>
  <c r="B13" i="216"/>
  <c r="A13" i="216"/>
  <c r="C13" i="216" s="1"/>
  <c r="J12" i="216"/>
  <c r="H12" i="216"/>
  <c r="I12" i="216" s="1"/>
  <c r="E12" i="216"/>
  <c r="B12" i="216"/>
  <c r="A12" i="216"/>
  <c r="C12" i="216" s="1"/>
  <c r="J11" i="216"/>
  <c r="J42" i="216" s="1"/>
  <c r="I11" i="216"/>
  <c r="H11" i="216"/>
  <c r="E11" i="216"/>
  <c r="B11" i="216"/>
  <c r="A11" i="216"/>
  <c r="J10" i="216"/>
  <c r="H10" i="216"/>
  <c r="I10" i="216" s="1"/>
  <c r="E10" i="216"/>
  <c r="B10" i="216"/>
  <c r="A10" i="216"/>
  <c r="C10" i="216" s="1"/>
  <c r="M5" i="216"/>
  <c r="L5" i="216"/>
  <c r="K5" i="216"/>
  <c r="J5" i="216"/>
  <c r="I5" i="216"/>
  <c r="H5" i="216"/>
  <c r="D1" i="216"/>
  <c r="A1" i="216"/>
  <c r="J41" i="215"/>
  <c r="I41" i="215"/>
  <c r="H41" i="215"/>
  <c r="E41" i="215"/>
  <c r="B41" i="215"/>
  <c r="C41" i="215" s="1"/>
  <c r="A41" i="215"/>
  <c r="J40" i="215"/>
  <c r="H40" i="215"/>
  <c r="I40" i="215" s="1"/>
  <c r="E40" i="215"/>
  <c r="B40" i="215"/>
  <c r="A40" i="215"/>
  <c r="C40" i="215" s="1"/>
  <c r="J39" i="215"/>
  <c r="H39" i="215"/>
  <c r="I39" i="215" s="1"/>
  <c r="E39" i="215"/>
  <c r="B39" i="215"/>
  <c r="A39" i="215"/>
  <c r="C39" i="215" s="1"/>
  <c r="J38" i="215"/>
  <c r="H38" i="215"/>
  <c r="I38" i="215" s="1"/>
  <c r="E38" i="215"/>
  <c r="B38" i="215"/>
  <c r="A38" i="215"/>
  <c r="J37" i="215"/>
  <c r="I37" i="215"/>
  <c r="H37" i="215"/>
  <c r="E37" i="215"/>
  <c r="B37" i="215"/>
  <c r="A37" i="215"/>
  <c r="J36" i="215"/>
  <c r="H36" i="215"/>
  <c r="I36" i="215" s="1"/>
  <c r="E36" i="215"/>
  <c r="B36" i="215"/>
  <c r="A36" i="215"/>
  <c r="C36" i="215" s="1"/>
  <c r="J35" i="215"/>
  <c r="H35" i="215"/>
  <c r="I35" i="215" s="1"/>
  <c r="E35" i="215"/>
  <c r="B35" i="215"/>
  <c r="A35" i="215"/>
  <c r="C35" i="215" s="1"/>
  <c r="J34" i="215"/>
  <c r="H34" i="215"/>
  <c r="I34" i="215" s="1"/>
  <c r="E34" i="215"/>
  <c r="B34" i="215"/>
  <c r="A34" i="215"/>
  <c r="J33" i="215"/>
  <c r="I33" i="215"/>
  <c r="H33" i="215"/>
  <c r="E33" i="215"/>
  <c r="B33" i="215"/>
  <c r="A33" i="215"/>
  <c r="J32" i="215"/>
  <c r="H32" i="215"/>
  <c r="I32" i="215" s="1"/>
  <c r="E32" i="215"/>
  <c r="B32" i="215"/>
  <c r="A32" i="215"/>
  <c r="C32" i="215" s="1"/>
  <c r="J31" i="215"/>
  <c r="H31" i="215"/>
  <c r="I31" i="215" s="1"/>
  <c r="E31" i="215"/>
  <c r="B31" i="215"/>
  <c r="A31" i="215"/>
  <c r="C31" i="215" s="1"/>
  <c r="J30" i="215"/>
  <c r="H30" i="215"/>
  <c r="I30" i="215" s="1"/>
  <c r="E30" i="215"/>
  <c r="B30" i="215"/>
  <c r="A30" i="215"/>
  <c r="J29" i="215"/>
  <c r="I29" i="215"/>
  <c r="H29" i="215"/>
  <c r="E29" i="215"/>
  <c r="B29" i="215"/>
  <c r="A29" i="215"/>
  <c r="J28" i="215"/>
  <c r="H28" i="215"/>
  <c r="I28" i="215" s="1"/>
  <c r="E28" i="215"/>
  <c r="B28" i="215"/>
  <c r="A28" i="215"/>
  <c r="C28" i="215" s="1"/>
  <c r="J27" i="215"/>
  <c r="H27" i="215"/>
  <c r="I27" i="215" s="1"/>
  <c r="E27" i="215"/>
  <c r="B27" i="215"/>
  <c r="A27" i="215"/>
  <c r="C27" i="215" s="1"/>
  <c r="J26" i="215"/>
  <c r="H26" i="215"/>
  <c r="I26" i="215" s="1"/>
  <c r="E26" i="215"/>
  <c r="B26" i="215"/>
  <c r="A26" i="215"/>
  <c r="J25" i="215"/>
  <c r="I25" i="215"/>
  <c r="H25" i="215"/>
  <c r="E25" i="215"/>
  <c r="B25" i="215"/>
  <c r="C25" i="215" s="1"/>
  <c r="A25" i="215"/>
  <c r="J24" i="215"/>
  <c r="H24" i="215"/>
  <c r="I24" i="215" s="1"/>
  <c r="E24" i="215"/>
  <c r="B24" i="215"/>
  <c r="A24" i="215"/>
  <c r="C24" i="215" s="1"/>
  <c r="J23" i="215"/>
  <c r="H23" i="215"/>
  <c r="I23" i="215" s="1"/>
  <c r="E23" i="215"/>
  <c r="B23" i="215"/>
  <c r="A23" i="215"/>
  <c r="C23" i="215" s="1"/>
  <c r="J22" i="215"/>
  <c r="H22" i="215"/>
  <c r="I22" i="215" s="1"/>
  <c r="E22" i="215"/>
  <c r="B22" i="215"/>
  <c r="A22" i="215"/>
  <c r="J21" i="215"/>
  <c r="I21" i="215"/>
  <c r="H21" i="215"/>
  <c r="E21" i="215"/>
  <c r="B21" i="215"/>
  <c r="A21" i="215"/>
  <c r="J20" i="215"/>
  <c r="H20" i="215"/>
  <c r="I20" i="215" s="1"/>
  <c r="E20" i="215"/>
  <c r="B20" i="215"/>
  <c r="A20" i="215"/>
  <c r="C20" i="215" s="1"/>
  <c r="J19" i="215"/>
  <c r="H19" i="215"/>
  <c r="I19" i="215" s="1"/>
  <c r="E19" i="215"/>
  <c r="B19" i="215"/>
  <c r="A19" i="215"/>
  <c r="C19" i="215" s="1"/>
  <c r="J18" i="215"/>
  <c r="H18" i="215"/>
  <c r="I18" i="215" s="1"/>
  <c r="E18" i="215"/>
  <c r="B18" i="215"/>
  <c r="A18" i="215"/>
  <c r="J17" i="215"/>
  <c r="I17" i="215"/>
  <c r="H17" i="215"/>
  <c r="E17" i="215"/>
  <c r="B17" i="215"/>
  <c r="A17" i="215"/>
  <c r="J16" i="215"/>
  <c r="H16" i="215"/>
  <c r="I16" i="215" s="1"/>
  <c r="E16" i="215"/>
  <c r="B16" i="215"/>
  <c r="A16" i="215"/>
  <c r="C16" i="215" s="1"/>
  <c r="J15" i="215"/>
  <c r="H15" i="215"/>
  <c r="I15" i="215" s="1"/>
  <c r="E15" i="215"/>
  <c r="B15" i="215"/>
  <c r="A15" i="215"/>
  <c r="C15" i="215" s="1"/>
  <c r="J14" i="215"/>
  <c r="H14" i="215"/>
  <c r="I14" i="215" s="1"/>
  <c r="E14" i="215"/>
  <c r="B14" i="215"/>
  <c r="A14" i="215"/>
  <c r="J13" i="215"/>
  <c r="I13" i="215"/>
  <c r="H13" i="215"/>
  <c r="E13" i="215"/>
  <c r="B13" i="215"/>
  <c r="A13" i="215"/>
  <c r="J12" i="215"/>
  <c r="H12" i="215"/>
  <c r="I12" i="215" s="1"/>
  <c r="E12" i="215"/>
  <c r="B12" i="215"/>
  <c r="A12" i="215"/>
  <c r="C12" i="215" s="1"/>
  <c r="J11" i="215"/>
  <c r="H11" i="215"/>
  <c r="I11" i="215" s="1"/>
  <c r="E11" i="215"/>
  <c r="B11" i="215"/>
  <c r="A11" i="215"/>
  <c r="C11" i="215" s="1"/>
  <c r="J10" i="215"/>
  <c r="J42" i="215" s="1"/>
  <c r="H10" i="215"/>
  <c r="I10" i="215" s="1"/>
  <c r="E10" i="215"/>
  <c r="B10" i="215"/>
  <c r="A10" i="215"/>
  <c r="M5" i="215"/>
  <c r="L5" i="215"/>
  <c r="K5" i="215"/>
  <c r="J5" i="215"/>
  <c r="I5" i="215"/>
  <c r="H5" i="215"/>
  <c r="D1" i="215"/>
  <c r="A1" i="215"/>
  <c r="C34" i="215" s="1"/>
  <c r="J41" i="214"/>
  <c r="I41" i="214"/>
  <c r="H41" i="214"/>
  <c r="E41" i="214"/>
  <c r="B41" i="214"/>
  <c r="A41" i="214"/>
  <c r="C41" i="214" s="1"/>
  <c r="J40" i="214"/>
  <c r="H40" i="214"/>
  <c r="I40" i="214" s="1"/>
  <c r="E40" i="214"/>
  <c r="B40" i="214"/>
  <c r="A40" i="214"/>
  <c r="C40" i="214" s="1"/>
  <c r="J39" i="214"/>
  <c r="H39" i="214"/>
  <c r="I39" i="214" s="1"/>
  <c r="E39" i="214"/>
  <c r="B39" i="214"/>
  <c r="A39" i="214"/>
  <c r="J38" i="214"/>
  <c r="I38" i="214"/>
  <c r="H38" i="214"/>
  <c r="E38" i="214"/>
  <c r="B38" i="214"/>
  <c r="A38" i="214"/>
  <c r="J37" i="214"/>
  <c r="I37" i="214"/>
  <c r="H37" i="214"/>
  <c r="E37" i="214"/>
  <c r="B37" i="214"/>
  <c r="A37" i="214"/>
  <c r="C37" i="214" s="1"/>
  <c r="J36" i="214"/>
  <c r="H36" i="214"/>
  <c r="I36" i="214" s="1"/>
  <c r="E36" i="214"/>
  <c r="B36" i="214"/>
  <c r="A36" i="214"/>
  <c r="C36" i="214" s="1"/>
  <c r="J35" i="214"/>
  <c r="H35" i="214"/>
  <c r="I35" i="214" s="1"/>
  <c r="E35" i="214"/>
  <c r="B35" i="214"/>
  <c r="A35" i="214"/>
  <c r="J34" i="214"/>
  <c r="I34" i="214"/>
  <c r="H34" i="214"/>
  <c r="E34" i="214"/>
  <c r="B34" i="214"/>
  <c r="A34" i="214"/>
  <c r="J33" i="214"/>
  <c r="I33" i="214"/>
  <c r="H33" i="214"/>
  <c r="E33" i="214"/>
  <c r="B33" i="214"/>
  <c r="A33" i="214"/>
  <c r="C33" i="214" s="1"/>
  <c r="J32" i="214"/>
  <c r="H32" i="214"/>
  <c r="I32" i="214" s="1"/>
  <c r="E32" i="214"/>
  <c r="B32" i="214"/>
  <c r="A32" i="214"/>
  <c r="C32" i="214" s="1"/>
  <c r="J31" i="214"/>
  <c r="H31" i="214"/>
  <c r="I31" i="214" s="1"/>
  <c r="E31" i="214"/>
  <c r="B31" i="214"/>
  <c r="A31" i="214"/>
  <c r="J30" i="214"/>
  <c r="I30" i="214"/>
  <c r="H30" i="214"/>
  <c r="E30" i="214"/>
  <c r="B30" i="214"/>
  <c r="A30" i="214"/>
  <c r="J29" i="214"/>
  <c r="I29" i="214"/>
  <c r="H29" i="214"/>
  <c r="E29" i="214"/>
  <c r="B29" i="214"/>
  <c r="A29" i="214"/>
  <c r="C29" i="214" s="1"/>
  <c r="J28" i="214"/>
  <c r="H28" i="214"/>
  <c r="I28" i="214" s="1"/>
  <c r="E28" i="214"/>
  <c r="B28" i="214"/>
  <c r="A28" i="214"/>
  <c r="C28" i="214" s="1"/>
  <c r="J27" i="214"/>
  <c r="H27" i="214"/>
  <c r="I27" i="214" s="1"/>
  <c r="E27" i="214"/>
  <c r="B27" i="214"/>
  <c r="A27" i="214"/>
  <c r="J26" i="214"/>
  <c r="I26" i="214"/>
  <c r="H26" i="214"/>
  <c r="E26" i="214"/>
  <c r="B26" i="214"/>
  <c r="A26" i="214"/>
  <c r="J25" i="214"/>
  <c r="I25" i="214"/>
  <c r="H25" i="214"/>
  <c r="E25" i="214"/>
  <c r="B25" i="214"/>
  <c r="A25" i="214"/>
  <c r="C25" i="214" s="1"/>
  <c r="J24" i="214"/>
  <c r="H24" i="214"/>
  <c r="I24" i="214" s="1"/>
  <c r="E24" i="214"/>
  <c r="B24" i="214"/>
  <c r="A24" i="214"/>
  <c r="C24" i="214" s="1"/>
  <c r="J23" i="214"/>
  <c r="H23" i="214"/>
  <c r="I23" i="214" s="1"/>
  <c r="E23" i="214"/>
  <c r="B23" i="214"/>
  <c r="A23" i="214"/>
  <c r="J22" i="214"/>
  <c r="I22" i="214"/>
  <c r="H22" i="214"/>
  <c r="E22" i="214"/>
  <c r="B22" i="214"/>
  <c r="A22" i="214"/>
  <c r="J21" i="214"/>
  <c r="I21" i="214"/>
  <c r="H21" i="214"/>
  <c r="E21" i="214"/>
  <c r="B21" i="214"/>
  <c r="A21" i="214"/>
  <c r="C21" i="214" s="1"/>
  <c r="J20" i="214"/>
  <c r="H20" i="214"/>
  <c r="I20" i="214" s="1"/>
  <c r="E20" i="214"/>
  <c r="B20" i="214"/>
  <c r="A20" i="214"/>
  <c r="C20" i="214" s="1"/>
  <c r="J19" i="214"/>
  <c r="H19" i="214"/>
  <c r="I19" i="214" s="1"/>
  <c r="E19" i="214"/>
  <c r="B19" i="214"/>
  <c r="A19" i="214"/>
  <c r="J18" i="214"/>
  <c r="I18" i="214"/>
  <c r="H18" i="214"/>
  <c r="E18" i="214"/>
  <c r="B18" i="214"/>
  <c r="A18" i="214"/>
  <c r="J17" i="214"/>
  <c r="I17" i="214"/>
  <c r="H17" i="214"/>
  <c r="E17" i="214"/>
  <c r="B17" i="214"/>
  <c r="A17" i="214"/>
  <c r="C17" i="214" s="1"/>
  <c r="J16" i="214"/>
  <c r="H16" i="214"/>
  <c r="I16" i="214" s="1"/>
  <c r="E16" i="214"/>
  <c r="B16" i="214"/>
  <c r="A16" i="214"/>
  <c r="C16" i="214" s="1"/>
  <c r="J15" i="214"/>
  <c r="H15" i="214"/>
  <c r="I15" i="214" s="1"/>
  <c r="E15" i="214"/>
  <c r="B15" i="214"/>
  <c r="A15" i="214"/>
  <c r="J14" i="214"/>
  <c r="I14" i="214"/>
  <c r="H14" i="214"/>
  <c r="E14" i="214"/>
  <c r="B14" i="214"/>
  <c r="A14" i="214"/>
  <c r="J13" i="214"/>
  <c r="I13" i="214"/>
  <c r="H13" i="214"/>
  <c r="E13" i="214"/>
  <c r="B13" i="214"/>
  <c r="A13" i="214"/>
  <c r="C13" i="214" s="1"/>
  <c r="J12" i="214"/>
  <c r="H12" i="214"/>
  <c r="I12" i="214" s="1"/>
  <c r="E12" i="214"/>
  <c r="B12" i="214"/>
  <c r="A12" i="214"/>
  <c r="C12" i="214" s="1"/>
  <c r="J11" i="214"/>
  <c r="H11" i="214"/>
  <c r="I11" i="214" s="1"/>
  <c r="E11" i="214"/>
  <c r="B11" i="214"/>
  <c r="A11" i="214"/>
  <c r="J10" i="214"/>
  <c r="J42" i="214" s="1"/>
  <c r="I10" i="214"/>
  <c r="I42" i="214" s="1"/>
  <c r="H10" i="214"/>
  <c r="E10" i="214"/>
  <c r="B10" i="214"/>
  <c r="A10" i="214"/>
  <c r="M5" i="214"/>
  <c r="L5" i="214"/>
  <c r="K5" i="214"/>
  <c r="J5" i="214"/>
  <c r="I5" i="214"/>
  <c r="H5" i="214"/>
  <c r="D1" i="214"/>
  <c r="A1" i="214"/>
  <c r="C39" i="214" s="1"/>
  <c r="J41" i="213"/>
  <c r="I41" i="213"/>
  <c r="H41" i="213"/>
  <c r="E41" i="213"/>
  <c r="B41" i="213"/>
  <c r="A41" i="213"/>
  <c r="C41" i="213" s="1"/>
  <c r="J40" i="213"/>
  <c r="H40" i="213"/>
  <c r="I40" i="213" s="1"/>
  <c r="E40" i="213"/>
  <c r="B40" i="213"/>
  <c r="A40" i="213"/>
  <c r="C40" i="213" s="1"/>
  <c r="J39" i="213"/>
  <c r="H39" i="213"/>
  <c r="I39" i="213" s="1"/>
  <c r="E39" i="213"/>
  <c r="B39" i="213"/>
  <c r="A39" i="213"/>
  <c r="C39" i="213" s="1"/>
  <c r="J38" i="213"/>
  <c r="I38" i="213"/>
  <c r="H38" i="213"/>
  <c r="E38" i="213"/>
  <c r="B38" i="213"/>
  <c r="A38" i="213"/>
  <c r="J37" i="213"/>
  <c r="I37" i="213"/>
  <c r="H37" i="213"/>
  <c r="E37" i="213"/>
  <c r="B37" i="213"/>
  <c r="A37" i="213"/>
  <c r="C37" i="213" s="1"/>
  <c r="J36" i="213"/>
  <c r="H36" i="213"/>
  <c r="I36" i="213" s="1"/>
  <c r="E36" i="213"/>
  <c r="B36" i="213"/>
  <c r="A36" i="213"/>
  <c r="C36" i="213" s="1"/>
  <c r="J35" i="213"/>
  <c r="H35" i="213"/>
  <c r="I35" i="213" s="1"/>
  <c r="E35" i="213"/>
  <c r="B35" i="213"/>
  <c r="A35" i="213"/>
  <c r="J34" i="213"/>
  <c r="I34" i="213"/>
  <c r="H34" i="213"/>
  <c r="E34" i="213"/>
  <c r="B34" i="213"/>
  <c r="A34" i="213"/>
  <c r="J33" i="213"/>
  <c r="I33" i="213"/>
  <c r="H33" i="213"/>
  <c r="E33" i="213"/>
  <c r="B33" i="213"/>
  <c r="A33" i="213"/>
  <c r="C33" i="213" s="1"/>
  <c r="J32" i="213"/>
  <c r="H32" i="213"/>
  <c r="I32" i="213" s="1"/>
  <c r="E32" i="213"/>
  <c r="B32" i="213"/>
  <c r="A32" i="213"/>
  <c r="C32" i="213" s="1"/>
  <c r="J31" i="213"/>
  <c r="H31" i="213"/>
  <c r="I31" i="213" s="1"/>
  <c r="E31" i="213"/>
  <c r="B31" i="213"/>
  <c r="A31" i="213"/>
  <c r="J30" i="213"/>
  <c r="I30" i="213"/>
  <c r="H30" i="213"/>
  <c r="E30" i="213"/>
  <c r="B30" i="213"/>
  <c r="A30" i="213"/>
  <c r="J29" i="213"/>
  <c r="I29" i="213"/>
  <c r="H29" i="213"/>
  <c r="E29" i="213"/>
  <c r="B29" i="213"/>
  <c r="A29" i="213"/>
  <c r="C29" i="213" s="1"/>
  <c r="J28" i="213"/>
  <c r="H28" i="213"/>
  <c r="I28" i="213" s="1"/>
  <c r="E28" i="213"/>
  <c r="B28" i="213"/>
  <c r="A28" i="213"/>
  <c r="C28" i="213" s="1"/>
  <c r="J27" i="213"/>
  <c r="H27" i="213"/>
  <c r="I27" i="213" s="1"/>
  <c r="E27" i="213"/>
  <c r="B27" i="213"/>
  <c r="A27" i="213"/>
  <c r="J26" i="213"/>
  <c r="I26" i="213"/>
  <c r="H26" i="213"/>
  <c r="E26" i="213"/>
  <c r="B26" i="213"/>
  <c r="A26" i="213"/>
  <c r="J25" i="213"/>
  <c r="I25" i="213"/>
  <c r="H25" i="213"/>
  <c r="E25" i="213"/>
  <c r="B25" i="213"/>
  <c r="A25" i="213"/>
  <c r="C25" i="213" s="1"/>
  <c r="J24" i="213"/>
  <c r="H24" i="213"/>
  <c r="I24" i="213" s="1"/>
  <c r="E24" i="213"/>
  <c r="B24" i="213"/>
  <c r="A24" i="213"/>
  <c r="C24" i="213" s="1"/>
  <c r="J23" i="213"/>
  <c r="H23" i="213"/>
  <c r="I23" i="213" s="1"/>
  <c r="E23" i="213"/>
  <c r="B23" i="213"/>
  <c r="A23" i="213"/>
  <c r="J22" i="213"/>
  <c r="I22" i="213"/>
  <c r="H22" i="213"/>
  <c r="E22" i="213"/>
  <c r="B22" i="213"/>
  <c r="A22" i="213"/>
  <c r="J21" i="213"/>
  <c r="I21" i="213"/>
  <c r="H21" i="213"/>
  <c r="E21" i="213"/>
  <c r="B21" i="213"/>
  <c r="A21" i="213"/>
  <c r="C21" i="213" s="1"/>
  <c r="J20" i="213"/>
  <c r="H20" i="213"/>
  <c r="I20" i="213" s="1"/>
  <c r="E20" i="213"/>
  <c r="B20" i="213"/>
  <c r="A20" i="213"/>
  <c r="C20" i="213" s="1"/>
  <c r="J19" i="213"/>
  <c r="H19" i="213"/>
  <c r="I19" i="213" s="1"/>
  <c r="E19" i="213"/>
  <c r="B19" i="213"/>
  <c r="A19" i="213"/>
  <c r="J18" i="213"/>
  <c r="I18" i="213"/>
  <c r="H18" i="213"/>
  <c r="E18" i="213"/>
  <c r="B18" i="213"/>
  <c r="A18" i="213"/>
  <c r="J17" i="213"/>
  <c r="I17" i="213"/>
  <c r="H17" i="213"/>
  <c r="E17" i="213"/>
  <c r="B17" i="213"/>
  <c r="A17" i="213"/>
  <c r="C17" i="213" s="1"/>
  <c r="J16" i="213"/>
  <c r="H16" i="213"/>
  <c r="I16" i="213" s="1"/>
  <c r="E16" i="213"/>
  <c r="B16" i="213"/>
  <c r="A16" i="213"/>
  <c r="C16" i="213" s="1"/>
  <c r="J15" i="213"/>
  <c r="H15" i="213"/>
  <c r="I15" i="213" s="1"/>
  <c r="E15" i="213"/>
  <c r="B15" i="213"/>
  <c r="A15" i="213"/>
  <c r="J14" i="213"/>
  <c r="I14" i="213"/>
  <c r="H14" i="213"/>
  <c r="E14" i="213"/>
  <c r="B14" i="213"/>
  <c r="A14" i="213"/>
  <c r="J13" i="213"/>
  <c r="I13" i="213"/>
  <c r="H13" i="213"/>
  <c r="E13" i="213"/>
  <c r="B13" i="213"/>
  <c r="A13" i="213"/>
  <c r="C13" i="213" s="1"/>
  <c r="J12" i="213"/>
  <c r="H12" i="213"/>
  <c r="I12" i="213" s="1"/>
  <c r="E12" i="213"/>
  <c r="B12" i="213"/>
  <c r="A12" i="213"/>
  <c r="C12" i="213" s="1"/>
  <c r="J11" i="213"/>
  <c r="H11" i="213"/>
  <c r="I11" i="213" s="1"/>
  <c r="E11" i="213"/>
  <c r="B11" i="213"/>
  <c r="A11" i="213"/>
  <c r="J10" i="213"/>
  <c r="J42" i="213" s="1"/>
  <c r="I10" i="213"/>
  <c r="I42" i="213" s="1"/>
  <c r="H10" i="213"/>
  <c r="E10" i="213"/>
  <c r="B10" i="213"/>
  <c r="A10" i="213"/>
  <c r="M5" i="213"/>
  <c r="L5" i="213"/>
  <c r="K5" i="213"/>
  <c r="J5" i="213"/>
  <c r="I5" i="213"/>
  <c r="H5" i="213"/>
  <c r="D1" i="213"/>
  <c r="A1" i="213"/>
  <c r="C35" i="213" s="1"/>
  <c r="J41" i="212"/>
  <c r="H41" i="212"/>
  <c r="I41" i="212" s="1"/>
  <c r="E41" i="212"/>
  <c r="B41" i="212"/>
  <c r="A41" i="212"/>
  <c r="J40" i="212"/>
  <c r="H40" i="212"/>
  <c r="I40" i="212" s="1"/>
  <c r="E40" i="212"/>
  <c r="B40" i="212"/>
  <c r="A40" i="212"/>
  <c r="J39" i="212"/>
  <c r="H39" i="212"/>
  <c r="I39" i="212" s="1"/>
  <c r="E39" i="212"/>
  <c r="B39" i="212"/>
  <c r="A39" i="212"/>
  <c r="J38" i="212"/>
  <c r="H38" i="212"/>
  <c r="I38" i="212" s="1"/>
  <c r="E38" i="212"/>
  <c r="B38" i="212"/>
  <c r="A38" i="212"/>
  <c r="J37" i="212"/>
  <c r="H37" i="212"/>
  <c r="I37" i="212" s="1"/>
  <c r="E37" i="212"/>
  <c r="B37" i="212"/>
  <c r="A37" i="212"/>
  <c r="J36" i="212"/>
  <c r="H36" i="212"/>
  <c r="I36" i="212" s="1"/>
  <c r="E36" i="212"/>
  <c r="B36" i="212"/>
  <c r="A36" i="212"/>
  <c r="J35" i="212"/>
  <c r="H35" i="212"/>
  <c r="I35" i="212" s="1"/>
  <c r="E35" i="212"/>
  <c r="B35" i="212"/>
  <c r="A35" i="212"/>
  <c r="J34" i="212"/>
  <c r="H34" i="212"/>
  <c r="I34" i="212" s="1"/>
  <c r="E34" i="212"/>
  <c r="B34" i="212"/>
  <c r="A34" i="212"/>
  <c r="J33" i="212"/>
  <c r="H33" i="212"/>
  <c r="I33" i="212" s="1"/>
  <c r="E33" i="212"/>
  <c r="B33" i="212"/>
  <c r="A33" i="212"/>
  <c r="J32" i="212"/>
  <c r="H32" i="212"/>
  <c r="I32" i="212" s="1"/>
  <c r="E32" i="212"/>
  <c r="B32" i="212"/>
  <c r="A32" i="212"/>
  <c r="J31" i="212"/>
  <c r="H31" i="212"/>
  <c r="I31" i="212" s="1"/>
  <c r="E31" i="212"/>
  <c r="B31" i="212"/>
  <c r="A31" i="212"/>
  <c r="J30" i="212"/>
  <c r="H30" i="212"/>
  <c r="I30" i="212" s="1"/>
  <c r="E30" i="212"/>
  <c r="B30" i="212"/>
  <c r="A30" i="212"/>
  <c r="J29" i="212"/>
  <c r="I29" i="212"/>
  <c r="H29" i="212"/>
  <c r="E29" i="212"/>
  <c r="B29" i="212"/>
  <c r="A29" i="212"/>
  <c r="J28" i="212"/>
  <c r="H28" i="212"/>
  <c r="I28" i="212" s="1"/>
  <c r="E28" i="212"/>
  <c r="B28" i="212"/>
  <c r="A28" i="212"/>
  <c r="J27" i="212"/>
  <c r="H27" i="212"/>
  <c r="I27" i="212" s="1"/>
  <c r="E27" i="212"/>
  <c r="B27" i="212"/>
  <c r="A27" i="212"/>
  <c r="J26" i="212"/>
  <c r="H26" i="212"/>
  <c r="I26" i="212" s="1"/>
  <c r="E26" i="212"/>
  <c r="B26" i="212"/>
  <c r="A26" i="212"/>
  <c r="J25" i="212"/>
  <c r="H25" i="212"/>
  <c r="I25" i="212" s="1"/>
  <c r="E25" i="212"/>
  <c r="B25" i="212"/>
  <c r="A25" i="212"/>
  <c r="J24" i="212"/>
  <c r="H24" i="212"/>
  <c r="I24" i="212" s="1"/>
  <c r="E24" i="212"/>
  <c r="B24" i="212"/>
  <c r="A24" i="212"/>
  <c r="J23" i="212"/>
  <c r="H23" i="212"/>
  <c r="I23" i="212" s="1"/>
  <c r="E23" i="212"/>
  <c r="B23" i="212"/>
  <c r="A23" i="212"/>
  <c r="J22" i="212"/>
  <c r="H22" i="212"/>
  <c r="I22" i="212" s="1"/>
  <c r="E22" i="212"/>
  <c r="B22" i="212"/>
  <c r="A22" i="212"/>
  <c r="J21" i="212"/>
  <c r="I21" i="212"/>
  <c r="H21" i="212"/>
  <c r="E21" i="212"/>
  <c r="B21" i="212"/>
  <c r="A21" i="212"/>
  <c r="C21" i="212" s="1"/>
  <c r="J20" i="212"/>
  <c r="H20" i="212"/>
  <c r="I20" i="212" s="1"/>
  <c r="E20" i="212"/>
  <c r="B20" i="212"/>
  <c r="A20" i="212"/>
  <c r="J19" i="212"/>
  <c r="H19" i="212"/>
  <c r="I19" i="212" s="1"/>
  <c r="E19" i="212"/>
  <c r="B19" i="212"/>
  <c r="A19" i="212"/>
  <c r="J18" i="212"/>
  <c r="H18" i="212"/>
  <c r="I18" i="212" s="1"/>
  <c r="E18" i="212"/>
  <c r="B18" i="212"/>
  <c r="A18" i="212"/>
  <c r="J17" i="212"/>
  <c r="H17" i="212"/>
  <c r="I17" i="212" s="1"/>
  <c r="E17" i="212"/>
  <c r="B17" i="212"/>
  <c r="A17" i="212"/>
  <c r="J16" i="212"/>
  <c r="H16" i="212"/>
  <c r="I16" i="212" s="1"/>
  <c r="E16" i="212"/>
  <c r="B16" i="212"/>
  <c r="A16" i="212"/>
  <c r="J15" i="212"/>
  <c r="H15" i="212"/>
  <c r="I15" i="212" s="1"/>
  <c r="E15" i="212"/>
  <c r="B15" i="212"/>
  <c r="A15" i="212"/>
  <c r="J14" i="212"/>
  <c r="H14" i="212"/>
  <c r="I14" i="212" s="1"/>
  <c r="E14" i="212"/>
  <c r="B14" i="212"/>
  <c r="A14" i="212"/>
  <c r="J13" i="212"/>
  <c r="I13" i="212"/>
  <c r="H13" i="212"/>
  <c r="E13" i="212"/>
  <c r="B13" i="212"/>
  <c r="A13" i="212"/>
  <c r="C13" i="212" s="1"/>
  <c r="J12" i="212"/>
  <c r="H12" i="212"/>
  <c r="I12" i="212" s="1"/>
  <c r="E12" i="212"/>
  <c r="B12" i="212"/>
  <c r="A12" i="212"/>
  <c r="J11" i="212"/>
  <c r="H11" i="212"/>
  <c r="I11" i="212" s="1"/>
  <c r="E11" i="212"/>
  <c r="B11" i="212"/>
  <c r="A11" i="212"/>
  <c r="J10" i="212"/>
  <c r="H10" i="212"/>
  <c r="I10" i="212" s="1"/>
  <c r="E10" i="212"/>
  <c r="B10" i="212"/>
  <c r="A10" i="212"/>
  <c r="M5" i="212"/>
  <c r="L5" i="212"/>
  <c r="K5" i="212"/>
  <c r="J5" i="212"/>
  <c r="I5" i="212"/>
  <c r="H5" i="212"/>
  <c r="D1" i="212"/>
  <c r="A1" i="212"/>
  <c r="J41" i="211"/>
  <c r="H41" i="211"/>
  <c r="I41" i="211" s="1"/>
  <c r="E41" i="211"/>
  <c r="B41" i="211"/>
  <c r="A41" i="211"/>
  <c r="J40" i="211"/>
  <c r="H40" i="211"/>
  <c r="I40" i="211" s="1"/>
  <c r="E40" i="211"/>
  <c r="B40" i="211"/>
  <c r="A40" i="211"/>
  <c r="J39" i="211"/>
  <c r="H39" i="211"/>
  <c r="I39" i="211" s="1"/>
  <c r="E39" i="211"/>
  <c r="B39" i="211"/>
  <c r="A39" i="211"/>
  <c r="J38" i="211"/>
  <c r="H38" i="211"/>
  <c r="I38" i="211" s="1"/>
  <c r="E38" i="211"/>
  <c r="B38" i="211"/>
  <c r="A38" i="211"/>
  <c r="J37" i="211"/>
  <c r="H37" i="211"/>
  <c r="I37" i="211" s="1"/>
  <c r="E37" i="211"/>
  <c r="B37" i="211"/>
  <c r="A37" i="211"/>
  <c r="J36" i="211"/>
  <c r="H36" i="211"/>
  <c r="I36" i="211" s="1"/>
  <c r="E36" i="211"/>
  <c r="B36" i="211"/>
  <c r="A36" i="211"/>
  <c r="J35" i="211"/>
  <c r="H35" i="211"/>
  <c r="I35" i="211" s="1"/>
  <c r="E35" i="211"/>
  <c r="B35" i="211"/>
  <c r="A35" i="211"/>
  <c r="J34" i="211"/>
  <c r="H34" i="211"/>
  <c r="I34" i="211" s="1"/>
  <c r="E34" i="211"/>
  <c r="B34" i="211"/>
  <c r="A34" i="211"/>
  <c r="J33" i="211"/>
  <c r="I33" i="211"/>
  <c r="H33" i="211"/>
  <c r="E33" i="211"/>
  <c r="B33" i="211"/>
  <c r="A33" i="211"/>
  <c r="J32" i="211"/>
  <c r="H32" i="211"/>
  <c r="I32" i="211" s="1"/>
  <c r="E32" i="211"/>
  <c r="B32" i="211"/>
  <c r="A32" i="211"/>
  <c r="J31" i="211"/>
  <c r="H31" i="211"/>
  <c r="I31" i="211" s="1"/>
  <c r="E31" i="211"/>
  <c r="B31" i="211"/>
  <c r="A31" i="211"/>
  <c r="C31" i="211" s="1"/>
  <c r="J30" i="211"/>
  <c r="H30" i="211"/>
  <c r="I30" i="211" s="1"/>
  <c r="E30" i="211"/>
  <c r="B30" i="211"/>
  <c r="A30" i="211"/>
  <c r="J29" i="211"/>
  <c r="H29" i="211"/>
  <c r="I29" i="211" s="1"/>
  <c r="E29" i="211"/>
  <c r="B29" i="211"/>
  <c r="A29" i="211"/>
  <c r="J28" i="211"/>
  <c r="H28" i="211"/>
  <c r="I28" i="211" s="1"/>
  <c r="E28" i="211"/>
  <c r="B28" i="211"/>
  <c r="A28" i="211"/>
  <c r="J27" i="211"/>
  <c r="H27" i="211"/>
  <c r="I27" i="211" s="1"/>
  <c r="E27" i="211"/>
  <c r="B27" i="211"/>
  <c r="A27" i="211"/>
  <c r="J26" i="211"/>
  <c r="H26" i="211"/>
  <c r="I26" i="211" s="1"/>
  <c r="E26" i="211"/>
  <c r="B26" i="211"/>
  <c r="A26" i="211"/>
  <c r="J25" i="211"/>
  <c r="H25" i="211"/>
  <c r="I25" i="211" s="1"/>
  <c r="E25" i="211"/>
  <c r="B25" i="211"/>
  <c r="A25" i="211"/>
  <c r="J24" i="211"/>
  <c r="H24" i="211"/>
  <c r="I24" i="211" s="1"/>
  <c r="E24" i="211"/>
  <c r="B24" i="211"/>
  <c r="A24" i="211"/>
  <c r="J23" i="211"/>
  <c r="H23" i="211"/>
  <c r="I23" i="211" s="1"/>
  <c r="E23" i="211"/>
  <c r="B23" i="211"/>
  <c r="A23" i="211"/>
  <c r="J22" i="211"/>
  <c r="H22" i="211"/>
  <c r="I22" i="211" s="1"/>
  <c r="E22" i="211"/>
  <c r="B22" i="211"/>
  <c r="A22" i="211"/>
  <c r="J21" i="211"/>
  <c r="H21" i="211"/>
  <c r="I21" i="211" s="1"/>
  <c r="E21" i="211"/>
  <c r="B21" i="211"/>
  <c r="A21" i="211"/>
  <c r="J20" i="211"/>
  <c r="H20" i="211"/>
  <c r="I20" i="211" s="1"/>
  <c r="E20" i="211"/>
  <c r="B20" i="211"/>
  <c r="A20" i="211"/>
  <c r="C20" i="211" s="1"/>
  <c r="J19" i="211"/>
  <c r="H19" i="211"/>
  <c r="I19" i="211" s="1"/>
  <c r="E19" i="211"/>
  <c r="B19" i="211"/>
  <c r="A19" i="211"/>
  <c r="J18" i="211"/>
  <c r="H18" i="211"/>
  <c r="I18" i="211" s="1"/>
  <c r="E18" i="211"/>
  <c r="B18" i="211"/>
  <c r="A18" i="211"/>
  <c r="J17" i="211"/>
  <c r="I17" i="211"/>
  <c r="H17" i="211"/>
  <c r="E17" i="211"/>
  <c r="B17" i="211"/>
  <c r="A17" i="211"/>
  <c r="J16" i="211"/>
  <c r="H16" i="211"/>
  <c r="I16" i="211" s="1"/>
  <c r="E16" i="211"/>
  <c r="B16" i="211"/>
  <c r="A16" i="211"/>
  <c r="J15" i="211"/>
  <c r="H15" i="211"/>
  <c r="I15" i="211" s="1"/>
  <c r="E15" i="211"/>
  <c r="B15" i="211"/>
  <c r="A15" i="211"/>
  <c r="J14" i="211"/>
  <c r="I14" i="211"/>
  <c r="H14" i="211"/>
  <c r="E14" i="211"/>
  <c r="B14" i="211"/>
  <c r="A14" i="211"/>
  <c r="J13" i="211"/>
  <c r="I13" i="211"/>
  <c r="H13" i="211"/>
  <c r="E13" i="211"/>
  <c r="B13" i="211"/>
  <c r="A13" i="211"/>
  <c r="J12" i="211"/>
  <c r="H12" i="211"/>
  <c r="I12" i="211" s="1"/>
  <c r="E12" i="211"/>
  <c r="B12" i="211"/>
  <c r="A12" i="211"/>
  <c r="J11" i="211"/>
  <c r="H11" i="211"/>
  <c r="I11" i="211" s="1"/>
  <c r="E11" i="211"/>
  <c r="B11" i="211"/>
  <c r="A11" i="211"/>
  <c r="C11" i="211" s="1"/>
  <c r="J10" i="211"/>
  <c r="I10" i="211"/>
  <c r="H10" i="211"/>
  <c r="E10" i="211"/>
  <c r="B10" i="211"/>
  <c r="A10" i="211"/>
  <c r="M5" i="211"/>
  <c r="L5" i="211"/>
  <c r="K5" i="211"/>
  <c r="J5" i="211"/>
  <c r="I5" i="211"/>
  <c r="H5" i="211"/>
  <c r="D1" i="211"/>
  <c r="A1" i="211"/>
  <c r="J41" i="210"/>
  <c r="H41" i="210"/>
  <c r="I41" i="210" s="1"/>
  <c r="E41" i="210"/>
  <c r="B41" i="210"/>
  <c r="A41" i="210"/>
  <c r="J40" i="210"/>
  <c r="H40" i="210"/>
  <c r="I40" i="210" s="1"/>
  <c r="E40" i="210"/>
  <c r="B40" i="210"/>
  <c r="A40" i="210"/>
  <c r="J39" i="210"/>
  <c r="H39" i="210"/>
  <c r="I39" i="210" s="1"/>
  <c r="E39" i="210"/>
  <c r="B39" i="210"/>
  <c r="A39" i="210"/>
  <c r="J38" i="210"/>
  <c r="H38" i="210"/>
  <c r="I38" i="210" s="1"/>
  <c r="E38" i="210"/>
  <c r="B38" i="210"/>
  <c r="A38" i="210"/>
  <c r="J37" i="210"/>
  <c r="H37" i="210"/>
  <c r="I37" i="210" s="1"/>
  <c r="E37" i="210"/>
  <c r="B37" i="210"/>
  <c r="A37" i="210"/>
  <c r="J36" i="210"/>
  <c r="H36" i="210"/>
  <c r="I36" i="210" s="1"/>
  <c r="E36" i="210"/>
  <c r="B36" i="210"/>
  <c r="A36" i="210"/>
  <c r="J35" i="210"/>
  <c r="H35" i="210"/>
  <c r="I35" i="210" s="1"/>
  <c r="E35" i="210"/>
  <c r="B35" i="210"/>
  <c r="A35" i="210"/>
  <c r="J34" i="210"/>
  <c r="H34" i="210"/>
  <c r="I34" i="210" s="1"/>
  <c r="E34" i="210"/>
  <c r="B34" i="210"/>
  <c r="A34" i="210"/>
  <c r="J33" i="210"/>
  <c r="H33" i="210"/>
  <c r="I33" i="210" s="1"/>
  <c r="E33" i="210"/>
  <c r="B33" i="210"/>
  <c r="A33" i="210"/>
  <c r="J32" i="210"/>
  <c r="H32" i="210"/>
  <c r="I32" i="210" s="1"/>
  <c r="E32" i="210"/>
  <c r="B32" i="210"/>
  <c r="A32" i="210"/>
  <c r="J31" i="210"/>
  <c r="H31" i="210"/>
  <c r="I31" i="210" s="1"/>
  <c r="E31" i="210"/>
  <c r="B31" i="210"/>
  <c r="A31" i="210"/>
  <c r="J30" i="210"/>
  <c r="H30" i="210"/>
  <c r="I30" i="210" s="1"/>
  <c r="E30" i="210"/>
  <c r="B30" i="210"/>
  <c r="A30" i="210"/>
  <c r="J29" i="210"/>
  <c r="H29" i="210"/>
  <c r="I29" i="210" s="1"/>
  <c r="E29" i="210"/>
  <c r="B29" i="210"/>
  <c r="A29" i="210"/>
  <c r="J28" i="210"/>
  <c r="H28" i="210"/>
  <c r="I28" i="210" s="1"/>
  <c r="E28" i="210"/>
  <c r="B28" i="210"/>
  <c r="A28" i="210"/>
  <c r="J27" i="210"/>
  <c r="H27" i="210"/>
  <c r="I27" i="210" s="1"/>
  <c r="E27" i="210"/>
  <c r="B27" i="210"/>
  <c r="A27" i="210"/>
  <c r="J26" i="210"/>
  <c r="H26" i="210"/>
  <c r="I26" i="210" s="1"/>
  <c r="E26" i="210"/>
  <c r="B26" i="210"/>
  <c r="A26" i="210"/>
  <c r="J25" i="210"/>
  <c r="I25" i="210"/>
  <c r="H25" i="210"/>
  <c r="E25" i="210"/>
  <c r="B25" i="210"/>
  <c r="A25" i="210"/>
  <c r="J24" i="210"/>
  <c r="H24" i="210"/>
  <c r="I24" i="210" s="1"/>
  <c r="E24" i="210"/>
  <c r="B24" i="210"/>
  <c r="A24" i="210"/>
  <c r="J23" i="210"/>
  <c r="H23" i="210"/>
  <c r="I23" i="210" s="1"/>
  <c r="E23" i="210"/>
  <c r="B23" i="210"/>
  <c r="A23" i="210"/>
  <c r="J22" i="210"/>
  <c r="H22" i="210"/>
  <c r="I22" i="210" s="1"/>
  <c r="E22" i="210"/>
  <c r="B22" i="210"/>
  <c r="A22" i="210"/>
  <c r="J21" i="210"/>
  <c r="H21" i="210"/>
  <c r="I21" i="210" s="1"/>
  <c r="E21" i="210"/>
  <c r="B21" i="210"/>
  <c r="A21" i="210"/>
  <c r="J20" i="210"/>
  <c r="H20" i="210"/>
  <c r="I20" i="210" s="1"/>
  <c r="E20" i="210"/>
  <c r="B20" i="210"/>
  <c r="A20" i="210"/>
  <c r="C20" i="210" s="1"/>
  <c r="J19" i="210"/>
  <c r="H19" i="210"/>
  <c r="I19" i="210" s="1"/>
  <c r="E19" i="210"/>
  <c r="B19" i="210"/>
  <c r="A19" i="210"/>
  <c r="J18" i="210"/>
  <c r="H18" i="210"/>
  <c r="I18" i="210" s="1"/>
  <c r="E18" i="210"/>
  <c r="B18" i="210"/>
  <c r="A18" i="210"/>
  <c r="J17" i="210"/>
  <c r="H17" i="210"/>
  <c r="I17" i="210" s="1"/>
  <c r="E17" i="210"/>
  <c r="B17" i="210"/>
  <c r="A17" i="210"/>
  <c r="J16" i="210"/>
  <c r="H16" i="210"/>
  <c r="I16" i="210" s="1"/>
  <c r="E16" i="210"/>
  <c r="B16" i="210"/>
  <c r="A16" i="210"/>
  <c r="C16" i="210" s="1"/>
  <c r="J15" i="210"/>
  <c r="I15" i="210"/>
  <c r="H15" i="210"/>
  <c r="E15" i="210"/>
  <c r="B15" i="210"/>
  <c r="A15" i="210"/>
  <c r="J14" i="210"/>
  <c r="H14" i="210"/>
  <c r="I14" i="210" s="1"/>
  <c r="E14" i="210"/>
  <c r="B14" i="210"/>
  <c r="A14" i="210"/>
  <c r="J13" i="210"/>
  <c r="H13" i="210"/>
  <c r="I13" i="210" s="1"/>
  <c r="E13" i="210"/>
  <c r="B13" i="210"/>
  <c r="A13" i="210"/>
  <c r="J12" i="210"/>
  <c r="H12" i="210"/>
  <c r="I12" i="210" s="1"/>
  <c r="E12" i="210"/>
  <c r="B12" i="210"/>
  <c r="A12" i="210"/>
  <c r="J11" i="210"/>
  <c r="I11" i="210"/>
  <c r="H11" i="210"/>
  <c r="E11" i="210"/>
  <c r="B11" i="210"/>
  <c r="A11" i="210"/>
  <c r="J10" i="210"/>
  <c r="H10" i="210"/>
  <c r="I10" i="210" s="1"/>
  <c r="E10" i="210"/>
  <c r="B10" i="210"/>
  <c r="A10" i="210"/>
  <c r="M5" i="210"/>
  <c r="L5" i="210"/>
  <c r="K5" i="210"/>
  <c r="J5" i="210"/>
  <c r="I5" i="210"/>
  <c r="H5" i="210"/>
  <c r="D1" i="210"/>
  <c r="A1" i="210"/>
  <c r="J41" i="208"/>
  <c r="H41" i="208"/>
  <c r="I41" i="208" s="1"/>
  <c r="E41" i="208"/>
  <c r="B41" i="208"/>
  <c r="A41" i="208"/>
  <c r="J40" i="208"/>
  <c r="H40" i="208"/>
  <c r="I40" i="208" s="1"/>
  <c r="E40" i="208"/>
  <c r="B40" i="208"/>
  <c r="A40" i="208"/>
  <c r="J39" i="208"/>
  <c r="H39" i="208"/>
  <c r="I39" i="208" s="1"/>
  <c r="E39" i="208"/>
  <c r="B39" i="208"/>
  <c r="C39" i="208" s="1"/>
  <c r="A39" i="208"/>
  <c r="J38" i="208"/>
  <c r="H38" i="208"/>
  <c r="I38" i="208" s="1"/>
  <c r="E38" i="208"/>
  <c r="B38" i="208"/>
  <c r="A38" i="208"/>
  <c r="J37" i="208"/>
  <c r="I37" i="208"/>
  <c r="H37" i="208"/>
  <c r="E37" i="208"/>
  <c r="B37" i="208"/>
  <c r="A37" i="208"/>
  <c r="C37" i="208" s="1"/>
  <c r="J36" i="208"/>
  <c r="H36" i="208"/>
  <c r="I36" i="208" s="1"/>
  <c r="E36" i="208"/>
  <c r="B36" i="208"/>
  <c r="A36" i="208"/>
  <c r="J35" i="208"/>
  <c r="H35" i="208"/>
  <c r="I35" i="208" s="1"/>
  <c r="E35" i="208"/>
  <c r="B35" i="208"/>
  <c r="A35" i="208"/>
  <c r="J34" i="208"/>
  <c r="H34" i="208"/>
  <c r="I34" i="208" s="1"/>
  <c r="E34" i="208"/>
  <c r="B34" i="208"/>
  <c r="A34" i="208"/>
  <c r="J33" i="208"/>
  <c r="H33" i="208"/>
  <c r="I33" i="208" s="1"/>
  <c r="E33" i="208"/>
  <c r="B33" i="208"/>
  <c r="A33" i="208"/>
  <c r="J32" i="208"/>
  <c r="H32" i="208"/>
  <c r="I32" i="208" s="1"/>
  <c r="E32" i="208"/>
  <c r="B32" i="208"/>
  <c r="A32" i="208"/>
  <c r="J31" i="208"/>
  <c r="H31" i="208"/>
  <c r="I31" i="208" s="1"/>
  <c r="E31" i="208"/>
  <c r="B31" i="208"/>
  <c r="A31" i="208"/>
  <c r="J30" i="208"/>
  <c r="H30" i="208"/>
  <c r="I30" i="208" s="1"/>
  <c r="E30" i="208"/>
  <c r="B30" i="208"/>
  <c r="A30" i="208"/>
  <c r="J29" i="208"/>
  <c r="H29" i="208"/>
  <c r="I29" i="208" s="1"/>
  <c r="E29" i="208"/>
  <c r="B29" i="208"/>
  <c r="A29" i="208"/>
  <c r="J28" i="208"/>
  <c r="H28" i="208"/>
  <c r="I28" i="208" s="1"/>
  <c r="E28" i="208"/>
  <c r="B28" i="208"/>
  <c r="A28" i="208"/>
  <c r="C28" i="208" s="1"/>
  <c r="J27" i="208"/>
  <c r="I27" i="208"/>
  <c r="H27" i="208"/>
  <c r="E27" i="208"/>
  <c r="B27" i="208"/>
  <c r="A27" i="208"/>
  <c r="J26" i="208"/>
  <c r="H26" i="208"/>
  <c r="I26" i="208" s="1"/>
  <c r="E26" i="208"/>
  <c r="B26" i="208"/>
  <c r="A26" i="208"/>
  <c r="J25" i="208"/>
  <c r="H25" i="208"/>
  <c r="I25" i="208" s="1"/>
  <c r="E25" i="208"/>
  <c r="B25" i="208"/>
  <c r="A25" i="208"/>
  <c r="J24" i="208"/>
  <c r="H24" i="208"/>
  <c r="I24" i="208" s="1"/>
  <c r="E24" i="208"/>
  <c r="B24" i="208"/>
  <c r="A24" i="208"/>
  <c r="J23" i="208"/>
  <c r="H23" i="208"/>
  <c r="I23" i="208" s="1"/>
  <c r="E23" i="208"/>
  <c r="B23" i="208"/>
  <c r="A23" i="208"/>
  <c r="J22" i="208"/>
  <c r="H22" i="208"/>
  <c r="I22" i="208" s="1"/>
  <c r="E22" i="208"/>
  <c r="B22" i="208"/>
  <c r="A22" i="208"/>
  <c r="J21" i="208"/>
  <c r="I21" i="208"/>
  <c r="H21" i="208"/>
  <c r="E21" i="208"/>
  <c r="B21" i="208"/>
  <c r="A21" i="208"/>
  <c r="C21" i="208" s="1"/>
  <c r="J20" i="208"/>
  <c r="H20" i="208"/>
  <c r="I20" i="208" s="1"/>
  <c r="E20" i="208"/>
  <c r="B20" i="208"/>
  <c r="A20" i="208"/>
  <c r="J19" i="208"/>
  <c r="H19" i="208"/>
  <c r="I19" i="208" s="1"/>
  <c r="E19" i="208"/>
  <c r="B19" i="208"/>
  <c r="A19" i="208"/>
  <c r="J18" i="208"/>
  <c r="H18" i="208"/>
  <c r="I18" i="208" s="1"/>
  <c r="E18" i="208"/>
  <c r="B18" i="208"/>
  <c r="A18" i="208"/>
  <c r="J17" i="208"/>
  <c r="H17" i="208"/>
  <c r="I17" i="208" s="1"/>
  <c r="E17" i="208"/>
  <c r="B17" i="208"/>
  <c r="A17" i="208"/>
  <c r="J16" i="208"/>
  <c r="H16" i="208"/>
  <c r="I16" i="208" s="1"/>
  <c r="E16" i="208"/>
  <c r="B16" i="208"/>
  <c r="A16" i="208"/>
  <c r="J15" i="208"/>
  <c r="H15" i="208"/>
  <c r="I15" i="208" s="1"/>
  <c r="E15" i="208"/>
  <c r="B15" i="208"/>
  <c r="A15" i="208"/>
  <c r="J14" i="208"/>
  <c r="H14" i="208"/>
  <c r="I14" i="208" s="1"/>
  <c r="E14" i="208"/>
  <c r="B14" i="208"/>
  <c r="A14" i="208"/>
  <c r="J13" i="208"/>
  <c r="H13" i="208"/>
  <c r="I13" i="208" s="1"/>
  <c r="E13" i="208"/>
  <c r="B13" i="208"/>
  <c r="A13" i="208"/>
  <c r="J12" i="208"/>
  <c r="H12" i="208"/>
  <c r="I12" i="208" s="1"/>
  <c r="E12" i="208"/>
  <c r="B12" i="208"/>
  <c r="A12" i="208"/>
  <c r="C12" i="208" s="1"/>
  <c r="J11" i="208"/>
  <c r="I11" i="208"/>
  <c r="H11" i="208"/>
  <c r="E11" i="208"/>
  <c r="B11" i="208"/>
  <c r="A11" i="208"/>
  <c r="C11" i="208" s="1"/>
  <c r="J10" i="208"/>
  <c r="H10" i="208"/>
  <c r="I10" i="208" s="1"/>
  <c r="E10" i="208"/>
  <c r="B10" i="208"/>
  <c r="A10" i="208"/>
  <c r="M5" i="208"/>
  <c r="L5" i="208"/>
  <c r="K5" i="208"/>
  <c r="J5" i="208"/>
  <c r="I5" i="208"/>
  <c r="H5" i="208"/>
  <c r="D1" i="208"/>
  <c r="A1" i="208"/>
  <c r="J41" i="207"/>
  <c r="H41" i="207"/>
  <c r="I41" i="207" s="1"/>
  <c r="E41" i="207"/>
  <c r="B41" i="207"/>
  <c r="A41" i="207"/>
  <c r="J40" i="207"/>
  <c r="H40" i="207"/>
  <c r="I40" i="207" s="1"/>
  <c r="E40" i="207"/>
  <c r="B40" i="207"/>
  <c r="A40" i="207"/>
  <c r="J39" i="207"/>
  <c r="H39" i="207"/>
  <c r="I39" i="207" s="1"/>
  <c r="E39" i="207"/>
  <c r="B39" i="207"/>
  <c r="C39" i="207" s="1"/>
  <c r="A39" i="207"/>
  <c r="J38" i="207"/>
  <c r="H38" i="207"/>
  <c r="I38" i="207" s="1"/>
  <c r="E38" i="207"/>
  <c r="B38" i="207"/>
  <c r="A38" i="207"/>
  <c r="J37" i="207"/>
  <c r="I37" i="207"/>
  <c r="H37" i="207"/>
  <c r="E37" i="207"/>
  <c r="B37" i="207"/>
  <c r="A37" i="207"/>
  <c r="C37" i="207" s="1"/>
  <c r="J36" i="207"/>
  <c r="H36" i="207"/>
  <c r="I36" i="207" s="1"/>
  <c r="E36" i="207"/>
  <c r="B36" i="207"/>
  <c r="A36" i="207"/>
  <c r="J35" i="207"/>
  <c r="H35" i="207"/>
  <c r="I35" i="207" s="1"/>
  <c r="E35" i="207"/>
  <c r="B35" i="207"/>
  <c r="A35" i="207"/>
  <c r="J34" i="207"/>
  <c r="H34" i="207"/>
  <c r="I34" i="207" s="1"/>
  <c r="E34" i="207"/>
  <c r="B34" i="207"/>
  <c r="A34" i="207"/>
  <c r="J33" i="207"/>
  <c r="H33" i="207"/>
  <c r="I33" i="207" s="1"/>
  <c r="E33" i="207"/>
  <c r="B33" i="207"/>
  <c r="A33" i="207"/>
  <c r="J32" i="207"/>
  <c r="H32" i="207"/>
  <c r="I32" i="207" s="1"/>
  <c r="E32" i="207"/>
  <c r="B32" i="207"/>
  <c r="A32" i="207"/>
  <c r="J31" i="207"/>
  <c r="H31" i="207"/>
  <c r="I31" i="207" s="1"/>
  <c r="E31" i="207"/>
  <c r="B31" i="207"/>
  <c r="A31" i="207"/>
  <c r="J30" i="207"/>
  <c r="H30" i="207"/>
  <c r="I30" i="207" s="1"/>
  <c r="E30" i="207"/>
  <c r="B30" i="207"/>
  <c r="A30" i="207"/>
  <c r="J29" i="207"/>
  <c r="H29" i="207"/>
  <c r="I29" i="207" s="1"/>
  <c r="E29" i="207"/>
  <c r="B29" i="207"/>
  <c r="A29" i="207"/>
  <c r="J28" i="207"/>
  <c r="H28" i="207"/>
  <c r="I28" i="207" s="1"/>
  <c r="E28" i="207"/>
  <c r="B28" i="207"/>
  <c r="A28" i="207"/>
  <c r="C28" i="207" s="1"/>
  <c r="J27" i="207"/>
  <c r="I27" i="207"/>
  <c r="H27" i="207"/>
  <c r="E27" i="207"/>
  <c r="B27" i="207"/>
  <c r="A27" i="207"/>
  <c r="C27" i="207" s="1"/>
  <c r="J26" i="207"/>
  <c r="H26" i="207"/>
  <c r="I26" i="207" s="1"/>
  <c r="E26" i="207"/>
  <c r="B26" i="207"/>
  <c r="A26" i="207"/>
  <c r="J25" i="207"/>
  <c r="H25" i="207"/>
  <c r="I25" i="207" s="1"/>
  <c r="E25" i="207"/>
  <c r="B25" i="207"/>
  <c r="A25" i="207"/>
  <c r="J24" i="207"/>
  <c r="H24" i="207"/>
  <c r="I24" i="207" s="1"/>
  <c r="E24" i="207"/>
  <c r="B24" i="207"/>
  <c r="A24" i="207"/>
  <c r="J23" i="207"/>
  <c r="H23" i="207"/>
  <c r="I23" i="207" s="1"/>
  <c r="E23" i="207"/>
  <c r="B23" i="207"/>
  <c r="A23" i="207"/>
  <c r="J22" i="207"/>
  <c r="H22" i="207"/>
  <c r="I22" i="207" s="1"/>
  <c r="E22" i="207"/>
  <c r="B22" i="207"/>
  <c r="A22" i="207"/>
  <c r="J21" i="207"/>
  <c r="I21" i="207"/>
  <c r="H21" i="207"/>
  <c r="E21" i="207"/>
  <c r="B21" i="207"/>
  <c r="A21" i="207"/>
  <c r="C21" i="207" s="1"/>
  <c r="J20" i="207"/>
  <c r="H20" i="207"/>
  <c r="I20" i="207" s="1"/>
  <c r="E20" i="207"/>
  <c r="B20" i="207"/>
  <c r="A20" i="207"/>
  <c r="J19" i="207"/>
  <c r="H19" i="207"/>
  <c r="I19" i="207" s="1"/>
  <c r="E19" i="207"/>
  <c r="B19" i="207"/>
  <c r="A19" i="207"/>
  <c r="J18" i="207"/>
  <c r="H18" i="207"/>
  <c r="I18" i="207" s="1"/>
  <c r="E18" i="207"/>
  <c r="B18" i="207"/>
  <c r="A18" i="207"/>
  <c r="J17" i="207"/>
  <c r="H17" i="207"/>
  <c r="I17" i="207" s="1"/>
  <c r="E17" i="207"/>
  <c r="B17" i="207"/>
  <c r="A17" i="207"/>
  <c r="J16" i="207"/>
  <c r="H16" i="207"/>
  <c r="I16" i="207" s="1"/>
  <c r="E16" i="207"/>
  <c r="B16" i="207"/>
  <c r="A16" i="207"/>
  <c r="J15" i="207"/>
  <c r="H15" i="207"/>
  <c r="I15" i="207" s="1"/>
  <c r="E15" i="207"/>
  <c r="B15" i="207"/>
  <c r="A15" i="207"/>
  <c r="J14" i="207"/>
  <c r="H14" i="207"/>
  <c r="I14" i="207" s="1"/>
  <c r="E14" i="207"/>
  <c r="B14" i="207"/>
  <c r="A14" i="207"/>
  <c r="J13" i="207"/>
  <c r="H13" i="207"/>
  <c r="I13" i="207" s="1"/>
  <c r="E13" i="207"/>
  <c r="B13" i="207"/>
  <c r="A13" i="207"/>
  <c r="J12" i="207"/>
  <c r="H12" i="207"/>
  <c r="I12" i="207" s="1"/>
  <c r="E12" i="207"/>
  <c r="B12" i="207"/>
  <c r="A12" i="207"/>
  <c r="C12" i="207" s="1"/>
  <c r="J11" i="207"/>
  <c r="I11" i="207"/>
  <c r="H11" i="207"/>
  <c r="E11" i="207"/>
  <c r="B11" i="207"/>
  <c r="A11" i="207"/>
  <c r="C11" i="207" s="1"/>
  <c r="J10" i="207"/>
  <c r="H10" i="207"/>
  <c r="I10" i="207" s="1"/>
  <c r="E10" i="207"/>
  <c r="B10" i="207"/>
  <c r="A10" i="207"/>
  <c r="M5" i="207"/>
  <c r="L5" i="207"/>
  <c r="K5" i="207"/>
  <c r="J5" i="207"/>
  <c r="I5" i="207"/>
  <c r="H5" i="207"/>
  <c r="D1" i="207"/>
  <c r="A1" i="207"/>
  <c r="J41" i="206"/>
  <c r="H41" i="206"/>
  <c r="I41" i="206" s="1"/>
  <c r="E41" i="206"/>
  <c r="B41" i="206"/>
  <c r="A41" i="206"/>
  <c r="J40" i="206"/>
  <c r="H40" i="206"/>
  <c r="I40" i="206" s="1"/>
  <c r="E40" i="206"/>
  <c r="B40" i="206"/>
  <c r="A40" i="206"/>
  <c r="J39" i="206"/>
  <c r="H39" i="206"/>
  <c r="I39" i="206" s="1"/>
  <c r="E39" i="206"/>
  <c r="B39" i="206"/>
  <c r="C39" i="206" s="1"/>
  <c r="A39" i="206"/>
  <c r="J38" i="206"/>
  <c r="H38" i="206"/>
  <c r="I38" i="206" s="1"/>
  <c r="E38" i="206"/>
  <c r="B38" i="206"/>
  <c r="A38" i="206"/>
  <c r="J37" i="206"/>
  <c r="I37" i="206"/>
  <c r="H37" i="206"/>
  <c r="E37" i="206"/>
  <c r="B37" i="206"/>
  <c r="A37" i="206"/>
  <c r="C37" i="206" s="1"/>
  <c r="J36" i="206"/>
  <c r="H36" i="206"/>
  <c r="I36" i="206" s="1"/>
  <c r="E36" i="206"/>
  <c r="B36" i="206"/>
  <c r="A36" i="206"/>
  <c r="J35" i="206"/>
  <c r="H35" i="206"/>
  <c r="I35" i="206" s="1"/>
  <c r="E35" i="206"/>
  <c r="B35" i="206"/>
  <c r="A35" i="206"/>
  <c r="J34" i="206"/>
  <c r="H34" i="206"/>
  <c r="I34" i="206" s="1"/>
  <c r="E34" i="206"/>
  <c r="B34" i="206"/>
  <c r="A34" i="206"/>
  <c r="J33" i="206"/>
  <c r="H33" i="206"/>
  <c r="I33" i="206" s="1"/>
  <c r="E33" i="206"/>
  <c r="B33" i="206"/>
  <c r="A33" i="206"/>
  <c r="J32" i="206"/>
  <c r="H32" i="206"/>
  <c r="I32" i="206" s="1"/>
  <c r="E32" i="206"/>
  <c r="B32" i="206"/>
  <c r="A32" i="206"/>
  <c r="J31" i="206"/>
  <c r="H31" i="206"/>
  <c r="I31" i="206" s="1"/>
  <c r="E31" i="206"/>
  <c r="B31" i="206"/>
  <c r="A31" i="206"/>
  <c r="J30" i="206"/>
  <c r="H30" i="206"/>
  <c r="I30" i="206" s="1"/>
  <c r="E30" i="206"/>
  <c r="B30" i="206"/>
  <c r="A30" i="206"/>
  <c r="J29" i="206"/>
  <c r="H29" i="206"/>
  <c r="I29" i="206" s="1"/>
  <c r="E29" i="206"/>
  <c r="B29" i="206"/>
  <c r="A29" i="206"/>
  <c r="J28" i="206"/>
  <c r="H28" i="206"/>
  <c r="I28" i="206" s="1"/>
  <c r="E28" i="206"/>
  <c r="B28" i="206"/>
  <c r="A28" i="206"/>
  <c r="C28" i="206" s="1"/>
  <c r="J27" i="206"/>
  <c r="I27" i="206"/>
  <c r="H27" i="206"/>
  <c r="E27" i="206"/>
  <c r="B27" i="206"/>
  <c r="A27" i="206"/>
  <c r="J26" i="206"/>
  <c r="H26" i="206"/>
  <c r="I26" i="206" s="1"/>
  <c r="E26" i="206"/>
  <c r="B26" i="206"/>
  <c r="A26" i="206"/>
  <c r="J25" i="206"/>
  <c r="H25" i="206"/>
  <c r="I25" i="206" s="1"/>
  <c r="E25" i="206"/>
  <c r="B25" i="206"/>
  <c r="A25" i="206"/>
  <c r="J24" i="206"/>
  <c r="H24" i="206"/>
  <c r="I24" i="206" s="1"/>
  <c r="E24" i="206"/>
  <c r="B24" i="206"/>
  <c r="A24" i="206"/>
  <c r="J23" i="206"/>
  <c r="H23" i="206"/>
  <c r="I23" i="206" s="1"/>
  <c r="E23" i="206"/>
  <c r="B23" i="206"/>
  <c r="A23" i="206"/>
  <c r="J22" i="206"/>
  <c r="H22" i="206"/>
  <c r="I22" i="206" s="1"/>
  <c r="E22" i="206"/>
  <c r="B22" i="206"/>
  <c r="A22" i="206"/>
  <c r="J21" i="206"/>
  <c r="I21" i="206"/>
  <c r="H21" i="206"/>
  <c r="E21" i="206"/>
  <c r="B21" i="206"/>
  <c r="A21" i="206"/>
  <c r="C21" i="206" s="1"/>
  <c r="J20" i="206"/>
  <c r="H20" i="206"/>
  <c r="I20" i="206" s="1"/>
  <c r="E20" i="206"/>
  <c r="B20" i="206"/>
  <c r="A20" i="206"/>
  <c r="J19" i="206"/>
  <c r="H19" i="206"/>
  <c r="I19" i="206" s="1"/>
  <c r="E19" i="206"/>
  <c r="B19" i="206"/>
  <c r="A19" i="206"/>
  <c r="J18" i="206"/>
  <c r="H18" i="206"/>
  <c r="I18" i="206" s="1"/>
  <c r="E18" i="206"/>
  <c r="B18" i="206"/>
  <c r="A18" i="206"/>
  <c r="J17" i="206"/>
  <c r="H17" i="206"/>
  <c r="I17" i="206" s="1"/>
  <c r="E17" i="206"/>
  <c r="B17" i="206"/>
  <c r="A17" i="206"/>
  <c r="J16" i="206"/>
  <c r="H16" i="206"/>
  <c r="I16" i="206" s="1"/>
  <c r="E16" i="206"/>
  <c r="B16" i="206"/>
  <c r="A16" i="206"/>
  <c r="J15" i="206"/>
  <c r="H15" i="206"/>
  <c r="I15" i="206" s="1"/>
  <c r="E15" i="206"/>
  <c r="B15" i="206"/>
  <c r="A15" i="206"/>
  <c r="J14" i="206"/>
  <c r="H14" i="206"/>
  <c r="I14" i="206" s="1"/>
  <c r="E14" i="206"/>
  <c r="B14" i="206"/>
  <c r="A14" i="206"/>
  <c r="J13" i="206"/>
  <c r="H13" i="206"/>
  <c r="I13" i="206" s="1"/>
  <c r="E13" i="206"/>
  <c r="B13" i="206"/>
  <c r="A13" i="206"/>
  <c r="J12" i="206"/>
  <c r="H12" i="206"/>
  <c r="I12" i="206" s="1"/>
  <c r="E12" i="206"/>
  <c r="B12" i="206"/>
  <c r="A12" i="206"/>
  <c r="C12" i="206" s="1"/>
  <c r="J11" i="206"/>
  <c r="I11" i="206"/>
  <c r="H11" i="206"/>
  <c r="E11" i="206"/>
  <c r="B11" i="206"/>
  <c r="A11" i="206"/>
  <c r="C11" i="206" s="1"/>
  <c r="J10" i="206"/>
  <c r="H10" i="206"/>
  <c r="I10" i="206" s="1"/>
  <c r="E10" i="206"/>
  <c r="B10" i="206"/>
  <c r="A10" i="206"/>
  <c r="M5" i="206"/>
  <c r="L5" i="206"/>
  <c r="K5" i="206"/>
  <c r="J5" i="206"/>
  <c r="I5" i="206"/>
  <c r="H5" i="206"/>
  <c r="D1" i="206"/>
  <c r="A1" i="206"/>
  <c r="J41" i="205"/>
  <c r="H41" i="205"/>
  <c r="I41" i="205" s="1"/>
  <c r="E41" i="205"/>
  <c r="B41" i="205"/>
  <c r="A41" i="205"/>
  <c r="J40" i="205"/>
  <c r="H40" i="205"/>
  <c r="I40" i="205" s="1"/>
  <c r="E40" i="205"/>
  <c r="B40" i="205"/>
  <c r="A40" i="205"/>
  <c r="J39" i="205"/>
  <c r="H39" i="205"/>
  <c r="I39" i="205" s="1"/>
  <c r="E39" i="205"/>
  <c r="B39" i="205"/>
  <c r="A39" i="205"/>
  <c r="C39" i="205" s="1"/>
  <c r="J38" i="205"/>
  <c r="H38" i="205"/>
  <c r="I38" i="205" s="1"/>
  <c r="E38" i="205"/>
  <c r="B38" i="205"/>
  <c r="A38" i="205"/>
  <c r="J37" i="205"/>
  <c r="H37" i="205"/>
  <c r="I37" i="205" s="1"/>
  <c r="E37" i="205"/>
  <c r="B37" i="205"/>
  <c r="A37" i="205"/>
  <c r="J36" i="205"/>
  <c r="H36" i="205"/>
  <c r="I36" i="205" s="1"/>
  <c r="E36" i="205"/>
  <c r="B36" i="205"/>
  <c r="A36" i="205"/>
  <c r="J35" i="205"/>
  <c r="H35" i="205"/>
  <c r="I35" i="205" s="1"/>
  <c r="E35" i="205"/>
  <c r="B35" i="205"/>
  <c r="A35" i="205"/>
  <c r="J34" i="205"/>
  <c r="H34" i="205"/>
  <c r="I34" i="205" s="1"/>
  <c r="E34" i="205"/>
  <c r="B34" i="205"/>
  <c r="A34" i="205"/>
  <c r="J33" i="205"/>
  <c r="H33" i="205"/>
  <c r="I33" i="205" s="1"/>
  <c r="E33" i="205"/>
  <c r="B33" i="205"/>
  <c r="A33" i="205"/>
  <c r="J32" i="205"/>
  <c r="H32" i="205"/>
  <c r="I32" i="205" s="1"/>
  <c r="E32" i="205"/>
  <c r="B32" i="205"/>
  <c r="A32" i="205"/>
  <c r="J31" i="205"/>
  <c r="H31" i="205"/>
  <c r="I31" i="205" s="1"/>
  <c r="E31" i="205"/>
  <c r="B31" i="205"/>
  <c r="A31" i="205"/>
  <c r="J30" i="205"/>
  <c r="H30" i="205"/>
  <c r="I30" i="205" s="1"/>
  <c r="E30" i="205"/>
  <c r="B30" i="205"/>
  <c r="A30" i="205"/>
  <c r="J29" i="205"/>
  <c r="I29" i="205"/>
  <c r="H29" i="205"/>
  <c r="E29" i="205"/>
  <c r="B29" i="205"/>
  <c r="A29" i="205"/>
  <c r="J28" i="205"/>
  <c r="H28" i="205"/>
  <c r="I28" i="205" s="1"/>
  <c r="E28" i="205"/>
  <c r="B28" i="205"/>
  <c r="A28" i="205"/>
  <c r="J27" i="205"/>
  <c r="H27" i="205"/>
  <c r="I27" i="205" s="1"/>
  <c r="E27" i="205"/>
  <c r="B27" i="205"/>
  <c r="A27" i="205"/>
  <c r="J26" i="205"/>
  <c r="H26" i="205"/>
  <c r="I26" i="205" s="1"/>
  <c r="E26" i="205"/>
  <c r="B26" i="205"/>
  <c r="A26" i="205"/>
  <c r="J25" i="205"/>
  <c r="H25" i="205"/>
  <c r="I25" i="205" s="1"/>
  <c r="E25" i="205"/>
  <c r="B25" i="205"/>
  <c r="A25" i="205"/>
  <c r="J24" i="205"/>
  <c r="H24" i="205"/>
  <c r="I24" i="205" s="1"/>
  <c r="E24" i="205"/>
  <c r="B24" i="205"/>
  <c r="A24" i="205"/>
  <c r="J23" i="205"/>
  <c r="H23" i="205"/>
  <c r="I23" i="205" s="1"/>
  <c r="E23" i="205"/>
  <c r="B23" i="205"/>
  <c r="A23" i="205"/>
  <c r="J22" i="205"/>
  <c r="H22" i="205"/>
  <c r="I22" i="205" s="1"/>
  <c r="E22" i="205"/>
  <c r="B22" i="205"/>
  <c r="A22" i="205"/>
  <c r="J21" i="205"/>
  <c r="H21" i="205"/>
  <c r="I21" i="205" s="1"/>
  <c r="E21" i="205"/>
  <c r="B21" i="205"/>
  <c r="A21" i="205"/>
  <c r="J20" i="205"/>
  <c r="H20" i="205"/>
  <c r="I20" i="205" s="1"/>
  <c r="E20" i="205"/>
  <c r="B20" i="205"/>
  <c r="A20" i="205"/>
  <c r="J19" i="205"/>
  <c r="H19" i="205"/>
  <c r="I19" i="205" s="1"/>
  <c r="E19" i="205"/>
  <c r="B19" i="205"/>
  <c r="A19" i="205"/>
  <c r="J18" i="205"/>
  <c r="H18" i="205"/>
  <c r="I18" i="205" s="1"/>
  <c r="E18" i="205"/>
  <c r="B18" i="205"/>
  <c r="A18" i="205"/>
  <c r="J17" i="205"/>
  <c r="H17" i="205"/>
  <c r="I17" i="205" s="1"/>
  <c r="E17" i="205"/>
  <c r="B17" i="205"/>
  <c r="A17" i="205"/>
  <c r="J16" i="205"/>
  <c r="H16" i="205"/>
  <c r="I16" i="205" s="1"/>
  <c r="E16" i="205"/>
  <c r="B16" i="205"/>
  <c r="A16" i="205"/>
  <c r="C16" i="205" s="1"/>
  <c r="J15" i="205"/>
  <c r="H15" i="205"/>
  <c r="I15" i="205" s="1"/>
  <c r="E15" i="205"/>
  <c r="B15" i="205"/>
  <c r="A15" i="205"/>
  <c r="J14" i="205"/>
  <c r="H14" i="205"/>
  <c r="I14" i="205" s="1"/>
  <c r="E14" i="205"/>
  <c r="B14" i="205"/>
  <c r="A14" i="205"/>
  <c r="J13" i="205"/>
  <c r="I13" i="205"/>
  <c r="H13" i="205"/>
  <c r="E13" i="205"/>
  <c r="B13" i="205"/>
  <c r="A13" i="205"/>
  <c r="J12" i="205"/>
  <c r="H12" i="205"/>
  <c r="I12" i="205" s="1"/>
  <c r="E12" i="205"/>
  <c r="B12" i="205"/>
  <c r="A12" i="205"/>
  <c r="J11" i="205"/>
  <c r="H11" i="205"/>
  <c r="I11" i="205" s="1"/>
  <c r="E11" i="205"/>
  <c r="B11" i="205"/>
  <c r="A11" i="205"/>
  <c r="C11" i="205" s="1"/>
  <c r="J10" i="205"/>
  <c r="H10" i="205"/>
  <c r="I10" i="205" s="1"/>
  <c r="E10" i="205"/>
  <c r="B10" i="205"/>
  <c r="A10" i="205"/>
  <c r="M5" i="205"/>
  <c r="L5" i="205"/>
  <c r="K5" i="205"/>
  <c r="J5" i="205"/>
  <c r="I5" i="205"/>
  <c r="H5" i="205"/>
  <c r="D1" i="205"/>
  <c r="A1" i="205"/>
  <c r="J41" i="204"/>
  <c r="H41" i="204"/>
  <c r="I41" i="204" s="1"/>
  <c r="E41" i="204"/>
  <c r="B41" i="204"/>
  <c r="A41" i="204"/>
  <c r="J40" i="204"/>
  <c r="H40" i="204"/>
  <c r="I40" i="204" s="1"/>
  <c r="E40" i="204"/>
  <c r="B40" i="204"/>
  <c r="A40" i="204"/>
  <c r="J39" i="204"/>
  <c r="H39" i="204"/>
  <c r="I39" i="204" s="1"/>
  <c r="E39" i="204"/>
  <c r="B39" i="204"/>
  <c r="A39" i="204"/>
  <c r="C39" i="204" s="1"/>
  <c r="J38" i="204"/>
  <c r="H38" i="204"/>
  <c r="I38" i="204" s="1"/>
  <c r="E38" i="204"/>
  <c r="B38" i="204"/>
  <c r="A38" i="204"/>
  <c r="J37" i="204"/>
  <c r="H37" i="204"/>
  <c r="I37" i="204" s="1"/>
  <c r="E37" i="204"/>
  <c r="B37" i="204"/>
  <c r="A37" i="204"/>
  <c r="J36" i="204"/>
  <c r="H36" i="204"/>
  <c r="I36" i="204" s="1"/>
  <c r="E36" i="204"/>
  <c r="B36" i="204"/>
  <c r="A36" i="204"/>
  <c r="J35" i="204"/>
  <c r="H35" i="204"/>
  <c r="I35" i="204" s="1"/>
  <c r="E35" i="204"/>
  <c r="B35" i="204"/>
  <c r="A35" i="204"/>
  <c r="J34" i="204"/>
  <c r="H34" i="204"/>
  <c r="I34" i="204" s="1"/>
  <c r="E34" i="204"/>
  <c r="B34" i="204"/>
  <c r="A34" i="204"/>
  <c r="J33" i="204"/>
  <c r="H33" i="204"/>
  <c r="I33" i="204" s="1"/>
  <c r="E33" i="204"/>
  <c r="B33" i="204"/>
  <c r="A33" i="204"/>
  <c r="J32" i="204"/>
  <c r="H32" i="204"/>
  <c r="I32" i="204" s="1"/>
  <c r="E32" i="204"/>
  <c r="B32" i="204"/>
  <c r="A32" i="204"/>
  <c r="J31" i="204"/>
  <c r="H31" i="204"/>
  <c r="I31" i="204" s="1"/>
  <c r="E31" i="204"/>
  <c r="B31" i="204"/>
  <c r="A31" i="204"/>
  <c r="J30" i="204"/>
  <c r="H30" i="204"/>
  <c r="I30" i="204" s="1"/>
  <c r="E30" i="204"/>
  <c r="B30" i="204"/>
  <c r="A30" i="204"/>
  <c r="J29" i="204"/>
  <c r="I29" i="204"/>
  <c r="H29" i="204"/>
  <c r="E29" i="204"/>
  <c r="B29" i="204"/>
  <c r="A29" i="204"/>
  <c r="J28" i="204"/>
  <c r="H28" i="204"/>
  <c r="I28" i="204" s="1"/>
  <c r="E28" i="204"/>
  <c r="B28" i="204"/>
  <c r="A28" i="204"/>
  <c r="J27" i="204"/>
  <c r="H27" i="204"/>
  <c r="I27" i="204" s="1"/>
  <c r="E27" i="204"/>
  <c r="B27" i="204"/>
  <c r="A27" i="204"/>
  <c r="J26" i="204"/>
  <c r="H26" i="204"/>
  <c r="I26" i="204" s="1"/>
  <c r="E26" i="204"/>
  <c r="B26" i="204"/>
  <c r="A26" i="204"/>
  <c r="J25" i="204"/>
  <c r="H25" i="204"/>
  <c r="I25" i="204" s="1"/>
  <c r="E25" i="204"/>
  <c r="B25" i="204"/>
  <c r="A25" i="204"/>
  <c r="J24" i="204"/>
  <c r="H24" i="204"/>
  <c r="I24" i="204" s="1"/>
  <c r="E24" i="204"/>
  <c r="B24" i="204"/>
  <c r="A24" i="204"/>
  <c r="J23" i="204"/>
  <c r="H23" i="204"/>
  <c r="I23" i="204" s="1"/>
  <c r="E23" i="204"/>
  <c r="B23" i="204"/>
  <c r="A23" i="204"/>
  <c r="J22" i="204"/>
  <c r="H22" i="204"/>
  <c r="I22" i="204" s="1"/>
  <c r="E22" i="204"/>
  <c r="B22" i="204"/>
  <c r="A22" i="204"/>
  <c r="J21" i="204"/>
  <c r="H21" i="204"/>
  <c r="I21" i="204" s="1"/>
  <c r="E21" i="204"/>
  <c r="B21" i="204"/>
  <c r="A21" i="204"/>
  <c r="J20" i="204"/>
  <c r="H20" i="204"/>
  <c r="I20" i="204" s="1"/>
  <c r="E20" i="204"/>
  <c r="B20" i="204"/>
  <c r="A20" i="204"/>
  <c r="J19" i="204"/>
  <c r="H19" i="204"/>
  <c r="I19" i="204" s="1"/>
  <c r="E19" i="204"/>
  <c r="B19" i="204"/>
  <c r="A19" i="204"/>
  <c r="J18" i="204"/>
  <c r="H18" i="204"/>
  <c r="I18" i="204" s="1"/>
  <c r="E18" i="204"/>
  <c r="B18" i="204"/>
  <c r="A18" i="204"/>
  <c r="J17" i="204"/>
  <c r="H17" i="204"/>
  <c r="I17" i="204" s="1"/>
  <c r="E17" i="204"/>
  <c r="B17" i="204"/>
  <c r="C17" i="204" s="1"/>
  <c r="A17" i="204"/>
  <c r="J16" i="204"/>
  <c r="H16" i="204"/>
  <c r="I16" i="204" s="1"/>
  <c r="E16" i="204"/>
  <c r="B16" i="204"/>
  <c r="A16" i="204"/>
  <c r="C16" i="204" s="1"/>
  <c r="J15" i="204"/>
  <c r="H15" i="204"/>
  <c r="I15" i="204" s="1"/>
  <c r="E15" i="204"/>
  <c r="B15" i="204"/>
  <c r="A15" i="204"/>
  <c r="J14" i="204"/>
  <c r="H14" i="204"/>
  <c r="I14" i="204" s="1"/>
  <c r="E14" i="204"/>
  <c r="B14" i="204"/>
  <c r="A14" i="204"/>
  <c r="J13" i="204"/>
  <c r="I13" i="204"/>
  <c r="H13" i="204"/>
  <c r="E13" i="204"/>
  <c r="B13" i="204"/>
  <c r="A13" i="204"/>
  <c r="J12" i="204"/>
  <c r="H12" i="204"/>
  <c r="I12" i="204" s="1"/>
  <c r="E12" i="204"/>
  <c r="B12" i="204"/>
  <c r="A12" i="204"/>
  <c r="J11" i="204"/>
  <c r="H11" i="204"/>
  <c r="I11" i="204" s="1"/>
  <c r="E11" i="204"/>
  <c r="B11" i="204"/>
  <c r="A11" i="204"/>
  <c r="C11" i="204" s="1"/>
  <c r="J10" i="204"/>
  <c r="H10" i="204"/>
  <c r="I10" i="204" s="1"/>
  <c r="E10" i="204"/>
  <c r="B10" i="204"/>
  <c r="A10" i="204"/>
  <c r="M5" i="204"/>
  <c r="L5" i="204"/>
  <c r="K5" i="204"/>
  <c r="J5" i="204"/>
  <c r="I5" i="204"/>
  <c r="H5" i="204"/>
  <c r="D1" i="204"/>
  <c r="A1" i="204"/>
  <c r="J41" i="203"/>
  <c r="H41" i="203"/>
  <c r="I41" i="203" s="1"/>
  <c r="E41" i="203"/>
  <c r="B41" i="203"/>
  <c r="A41" i="203"/>
  <c r="J40" i="203"/>
  <c r="H40" i="203"/>
  <c r="I40" i="203" s="1"/>
  <c r="E40" i="203"/>
  <c r="B40" i="203"/>
  <c r="A40" i="203"/>
  <c r="J39" i="203"/>
  <c r="H39" i="203"/>
  <c r="I39" i="203" s="1"/>
  <c r="E39" i="203"/>
  <c r="B39" i="203"/>
  <c r="A39" i="203"/>
  <c r="J38" i="203"/>
  <c r="H38" i="203"/>
  <c r="I38" i="203" s="1"/>
  <c r="E38" i="203"/>
  <c r="B38" i="203"/>
  <c r="A38" i="203"/>
  <c r="J37" i="203"/>
  <c r="H37" i="203"/>
  <c r="I37" i="203" s="1"/>
  <c r="E37" i="203"/>
  <c r="B37" i="203"/>
  <c r="A37" i="203"/>
  <c r="J36" i="203"/>
  <c r="H36" i="203"/>
  <c r="I36" i="203" s="1"/>
  <c r="E36" i="203"/>
  <c r="B36" i="203"/>
  <c r="A36" i="203"/>
  <c r="J35" i="203"/>
  <c r="H35" i="203"/>
  <c r="I35" i="203" s="1"/>
  <c r="E35" i="203"/>
  <c r="B35" i="203"/>
  <c r="A35" i="203"/>
  <c r="J34" i="203"/>
  <c r="H34" i="203"/>
  <c r="I34" i="203" s="1"/>
  <c r="E34" i="203"/>
  <c r="B34" i="203"/>
  <c r="A34" i="203"/>
  <c r="J33" i="203"/>
  <c r="H33" i="203"/>
  <c r="I33" i="203" s="1"/>
  <c r="E33" i="203"/>
  <c r="B33" i="203"/>
  <c r="A33" i="203"/>
  <c r="J32" i="203"/>
  <c r="H32" i="203"/>
  <c r="I32" i="203" s="1"/>
  <c r="E32" i="203"/>
  <c r="B32" i="203"/>
  <c r="A32" i="203"/>
  <c r="J31" i="203"/>
  <c r="H31" i="203"/>
  <c r="I31" i="203" s="1"/>
  <c r="E31" i="203"/>
  <c r="B31" i="203"/>
  <c r="A31" i="203"/>
  <c r="J30" i="203"/>
  <c r="H30" i="203"/>
  <c r="I30" i="203" s="1"/>
  <c r="E30" i="203"/>
  <c r="B30" i="203"/>
  <c r="A30" i="203"/>
  <c r="J29" i="203"/>
  <c r="I29" i="203"/>
  <c r="H29" i="203"/>
  <c r="E29" i="203"/>
  <c r="B29" i="203"/>
  <c r="A29" i="203"/>
  <c r="J28" i="203"/>
  <c r="H28" i="203"/>
  <c r="I28" i="203" s="1"/>
  <c r="E28" i="203"/>
  <c r="B28" i="203"/>
  <c r="A28" i="203"/>
  <c r="J27" i="203"/>
  <c r="H27" i="203"/>
  <c r="I27" i="203" s="1"/>
  <c r="E27" i="203"/>
  <c r="B27" i="203"/>
  <c r="A27" i="203"/>
  <c r="C27" i="203" s="1"/>
  <c r="J26" i="203"/>
  <c r="H26" i="203"/>
  <c r="I26" i="203" s="1"/>
  <c r="E26" i="203"/>
  <c r="B26" i="203"/>
  <c r="A26" i="203"/>
  <c r="J25" i="203"/>
  <c r="H25" i="203"/>
  <c r="I25" i="203" s="1"/>
  <c r="E25" i="203"/>
  <c r="B25" i="203"/>
  <c r="A25" i="203"/>
  <c r="J24" i="203"/>
  <c r="H24" i="203"/>
  <c r="I24" i="203" s="1"/>
  <c r="E24" i="203"/>
  <c r="B24" i="203"/>
  <c r="A24" i="203"/>
  <c r="J23" i="203"/>
  <c r="H23" i="203"/>
  <c r="I23" i="203" s="1"/>
  <c r="E23" i="203"/>
  <c r="B23" i="203"/>
  <c r="A23" i="203"/>
  <c r="J22" i="203"/>
  <c r="H22" i="203"/>
  <c r="I22" i="203" s="1"/>
  <c r="E22" i="203"/>
  <c r="B22" i="203"/>
  <c r="A22" i="203"/>
  <c r="J21" i="203"/>
  <c r="H21" i="203"/>
  <c r="I21" i="203" s="1"/>
  <c r="E21" i="203"/>
  <c r="B21" i="203"/>
  <c r="A21" i="203"/>
  <c r="J20" i="203"/>
  <c r="H20" i="203"/>
  <c r="I20" i="203" s="1"/>
  <c r="E20" i="203"/>
  <c r="B20" i="203"/>
  <c r="A20" i="203"/>
  <c r="J19" i="203"/>
  <c r="H19" i="203"/>
  <c r="I19" i="203" s="1"/>
  <c r="E19" i="203"/>
  <c r="B19" i="203"/>
  <c r="A19" i="203"/>
  <c r="J18" i="203"/>
  <c r="H18" i="203"/>
  <c r="I18" i="203" s="1"/>
  <c r="E18" i="203"/>
  <c r="B18" i="203"/>
  <c r="A18" i="203"/>
  <c r="J17" i="203"/>
  <c r="H17" i="203"/>
  <c r="I17" i="203" s="1"/>
  <c r="E17" i="203"/>
  <c r="B17" i="203"/>
  <c r="A17" i="203"/>
  <c r="J16" i="203"/>
  <c r="H16" i="203"/>
  <c r="I16" i="203" s="1"/>
  <c r="E16" i="203"/>
  <c r="B16" i="203"/>
  <c r="A16" i="203"/>
  <c r="C16" i="203" s="1"/>
  <c r="J15" i="203"/>
  <c r="H15" i="203"/>
  <c r="I15" i="203" s="1"/>
  <c r="E15" i="203"/>
  <c r="B15" i="203"/>
  <c r="A15" i="203"/>
  <c r="J14" i="203"/>
  <c r="H14" i="203"/>
  <c r="I14" i="203" s="1"/>
  <c r="E14" i="203"/>
  <c r="B14" i="203"/>
  <c r="A14" i="203"/>
  <c r="J13" i="203"/>
  <c r="I13" i="203"/>
  <c r="H13" i="203"/>
  <c r="E13" i="203"/>
  <c r="B13" i="203"/>
  <c r="A13" i="203"/>
  <c r="J12" i="203"/>
  <c r="H12" i="203"/>
  <c r="I12" i="203" s="1"/>
  <c r="E12" i="203"/>
  <c r="B12" i="203"/>
  <c r="A12" i="203"/>
  <c r="J11" i="203"/>
  <c r="H11" i="203"/>
  <c r="I11" i="203" s="1"/>
  <c r="E11" i="203"/>
  <c r="B11" i="203"/>
  <c r="A11" i="203"/>
  <c r="J10" i="203"/>
  <c r="H10" i="203"/>
  <c r="I10" i="203" s="1"/>
  <c r="E10" i="203"/>
  <c r="B10" i="203"/>
  <c r="A10" i="203"/>
  <c r="M5" i="203"/>
  <c r="L5" i="203"/>
  <c r="K5" i="203"/>
  <c r="J5" i="203"/>
  <c r="I5" i="203"/>
  <c r="H5" i="203"/>
  <c r="D1" i="203"/>
  <c r="A1" i="203"/>
  <c r="J41" i="202"/>
  <c r="H41" i="202"/>
  <c r="I41" i="202" s="1"/>
  <c r="E41" i="202"/>
  <c r="B41" i="202"/>
  <c r="A41" i="202"/>
  <c r="J40" i="202"/>
  <c r="H40" i="202"/>
  <c r="I40" i="202" s="1"/>
  <c r="E40" i="202"/>
  <c r="B40" i="202"/>
  <c r="A40" i="202"/>
  <c r="J39" i="202"/>
  <c r="H39" i="202"/>
  <c r="I39" i="202" s="1"/>
  <c r="E39" i="202"/>
  <c r="B39" i="202"/>
  <c r="A39" i="202"/>
  <c r="J38" i="202"/>
  <c r="H38" i="202"/>
  <c r="I38" i="202" s="1"/>
  <c r="E38" i="202"/>
  <c r="B38" i="202"/>
  <c r="A38" i="202"/>
  <c r="J37" i="202"/>
  <c r="I37" i="202"/>
  <c r="H37" i="202"/>
  <c r="E37" i="202"/>
  <c r="B37" i="202"/>
  <c r="A37" i="202"/>
  <c r="J36" i="202"/>
  <c r="H36" i="202"/>
  <c r="I36" i="202" s="1"/>
  <c r="E36" i="202"/>
  <c r="B36" i="202"/>
  <c r="A36" i="202"/>
  <c r="J35" i="202"/>
  <c r="H35" i="202"/>
  <c r="I35" i="202" s="1"/>
  <c r="E35" i="202"/>
  <c r="B35" i="202"/>
  <c r="A35" i="202"/>
  <c r="J34" i="202"/>
  <c r="H34" i="202"/>
  <c r="I34" i="202" s="1"/>
  <c r="E34" i="202"/>
  <c r="B34" i="202"/>
  <c r="A34" i="202"/>
  <c r="J33" i="202"/>
  <c r="H33" i="202"/>
  <c r="I33" i="202" s="1"/>
  <c r="E33" i="202"/>
  <c r="B33" i="202"/>
  <c r="A33" i="202"/>
  <c r="J32" i="202"/>
  <c r="H32" i="202"/>
  <c r="I32" i="202" s="1"/>
  <c r="E32" i="202"/>
  <c r="B32" i="202"/>
  <c r="A32" i="202"/>
  <c r="J31" i="202"/>
  <c r="H31" i="202"/>
  <c r="I31" i="202" s="1"/>
  <c r="E31" i="202"/>
  <c r="B31" i="202"/>
  <c r="A31" i="202"/>
  <c r="J30" i="202"/>
  <c r="H30" i="202"/>
  <c r="I30" i="202" s="1"/>
  <c r="E30" i="202"/>
  <c r="B30" i="202"/>
  <c r="A30" i="202"/>
  <c r="J29" i="202"/>
  <c r="I29" i="202"/>
  <c r="H29" i="202"/>
  <c r="E29" i="202"/>
  <c r="B29" i="202"/>
  <c r="A29" i="202"/>
  <c r="J28" i="202"/>
  <c r="H28" i="202"/>
  <c r="I28" i="202" s="1"/>
  <c r="E28" i="202"/>
  <c r="B28" i="202"/>
  <c r="A28" i="202"/>
  <c r="J27" i="202"/>
  <c r="H27" i="202"/>
  <c r="I27" i="202" s="1"/>
  <c r="E27" i="202"/>
  <c r="B27" i="202"/>
  <c r="A27" i="202"/>
  <c r="J26" i="202"/>
  <c r="H26" i="202"/>
  <c r="I26" i="202" s="1"/>
  <c r="E26" i="202"/>
  <c r="B26" i="202"/>
  <c r="A26" i="202"/>
  <c r="J25" i="202"/>
  <c r="H25" i="202"/>
  <c r="I25" i="202" s="1"/>
  <c r="E25" i="202"/>
  <c r="B25" i="202"/>
  <c r="A25" i="202"/>
  <c r="J24" i="202"/>
  <c r="H24" i="202"/>
  <c r="I24" i="202" s="1"/>
  <c r="E24" i="202"/>
  <c r="B24" i="202"/>
  <c r="A24" i="202"/>
  <c r="J23" i="202"/>
  <c r="H23" i="202"/>
  <c r="I23" i="202" s="1"/>
  <c r="E23" i="202"/>
  <c r="B23" i="202"/>
  <c r="A23" i="202"/>
  <c r="J22" i="202"/>
  <c r="H22" i="202"/>
  <c r="I22" i="202" s="1"/>
  <c r="E22" i="202"/>
  <c r="B22" i="202"/>
  <c r="A22" i="202"/>
  <c r="J21" i="202"/>
  <c r="I21" i="202"/>
  <c r="H21" i="202"/>
  <c r="E21" i="202"/>
  <c r="B21" i="202"/>
  <c r="A21" i="202"/>
  <c r="J20" i="202"/>
  <c r="H20" i="202"/>
  <c r="I20" i="202" s="1"/>
  <c r="E20" i="202"/>
  <c r="B20" i="202"/>
  <c r="A20" i="202"/>
  <c r="J19" i="202"/>
  <c r="H19" i="202"/>
  <c r="I19" i="202" s="1"/>
  <c r="E19" i="202"/>
  <c r="B19" i="202"/>
  <c r="A19" i="202"/>
  <c r="J18" i="202"/>
  <c r="H18" i="202"/>
  <c r="I18" i="202" s="1"/>
  <c r="E18" i="202"/>
  <c r="B18" i="202"/>
  <c r="A18" i="202"/>
  <c r="J17" i="202"/>
  <c r="H17" i="202"/>
  <c r="I17" i="202" s="1"/>
  <c r="E17" i="202"/>
  <c r="B17" i="202"/>
  <c r="A17" i="202"/>
  <c r="J16" i="202"/>
  <c r="H16" i="202"/>
  <c r="I16" i="202" s="1"/>
  <c r="E16" i="202"/>
  <c r="B16" i="202"/>
  <c r="A16" i="202"/>
  <c r="J15" i="202"/>
  <c r="H15" i="202"/>
  <c r="I15" i="202" s="1"/>
  <c r="E15" i="202"/>
  <c r="B15" i="202"/>
  <c r="A15" i="202"/>
  <c r="J14" i="202"/>
  <c r="H14" i="202"/>
  <c r="I14" i="202" s="1"/>
  <c r="E14" i="202"/>
  <c r="B14" i="202"/>
  <c r="A14" i="202"/>
  <c r="J13" i="202"/>
  <c r="I13" i="202"/>
  <c r="H13" i="202"/>
  <c r="E13" i="202"/>
  <c r="B13" i="202"/>
  <c r="A13" i="202"/>
  <c r="J12" i="202"/>
  <c r="H12" i="202"/>
  <c r="I12" i="202" s="1"/>
  <c r="E12" i="202"/>
  <c r="B12" i="202"/>
  <c r="A12" i="202"/>
  <c r="J11" i="202"/>
  <c r="H11" i="202"/>
  <c r="I11" i="202" s="1"/>
  <c r="E11" i="202"/>
  <c r="B11" i="202"/>
  <c r="A11" i="202"/>
  <c r="J10" i="202"/>
  <c r="H10" i="202"/>
  <c r="I10" i="202" s="1"/>
  <c r="E10" i="202"/>
  <c r="B10" i="202"/>
  <c r="A10" i="202"/>
  <c r="M5" i="202"/>
  <c r="L5" i="202"/>
  <c r="K5" i="202"/>
  <c r="J5" i="202"/>
  <c r="I5" i="202"/>
  <c r="H5" i="202"/>
  <c r="D1" i="202"/>
  <c r="A1" i="202"/>
  <c r="J41" i="201"/>
  <c r="H41" i="201"/>
  <c r="I41" i="201" s="1"/>
  <c r="E41" i="201"/>
  <c r="B41" i="201"/>
  <c r="A41" i="201"/>
  <c r="J40" i="201"/>
  <c r="H40" i="201"/>
  <c r="I40" i="201" s="1"/>
  <c r="E40" i="201"/>
  <c r="B40" i="201"/>
  <c r="A40" i="201"/>
  <c r="J39" i="201"/>
  <c r="H39" i="201"/>
  <c r="I39" i="201" s="1"/>
  <c r="E39" i="201"/>
  <c r="B39" i="201"/>
  <c r="A39" i="201"/>
  <c r="J38" i="201"/>
  <c r="H38" i="201"/>
  <c r="I38" i="201" s="1"/>
  <c r="E38" i="201"/>
  <c r="B38" i="201"/>
  <c r="A38" i="201"/>
  <c r="J37" i="201"/>
  <c r="I37" i="201"/>
  <c r="H37" i="201"/>
  <c r="E37" i="201"/>
  <c r="B37" i="201"/>
  <c r="A37" i="201"/>
  <c r="J36" i="201"/>
  <c r="H36" i="201"/>
  <c r="I36" i="201" s="1"/>
  <c r="E36" i="201"/>
  <c r="B36" i="201"/>
  <c r="A36" i="201"/>
  <c r="J35" i="201"/>
  <c r="H35" i="201"/>
  <c r="I35" i="201" s="1"/>
  <c r="E35" i="201"/>
  <c r="B35" i="201"/>
  <c r="A35" i="201"/>
  <c r="J34" i="201"/>
  <c r="H34" i="201"/>
  <c r="I34" i="201" s="1"/>
  <c r="E34" i="201"/>
  <c r="B34" i="201"/>
  <c r="A34" i="201"/>
  <c r="J33" i="201"/>
  <c r="H33" i="201"/>
  <c r="I33" i="201" s="1"/>
  <c r="E33" i="201"/>
  <c r="B33" i="201"/>
  <c r="A33" i="201"/>
  <c r="J32" i="201"/>
  <c r="H32" i="201"/>
  <c r="I32" i="201" s="1"/>
  <c r="E32" i="201"/>
  <c r="B32" i="201"/>
  <c r="A32" i="201"/>
  <c r="J31" i="201"/>
  <c r="H31" i="201"/>
  <c r="I31" i="201" s="1"/>
  <c r="E31" i="201"/>
  <c r="B31" i="201"/>
  <c r="A31" i="201"/>
  <c r="J30" i="201"/>
  <c r="H30" i="201"/>
  <c r="I30" i="201" s="1"/>
  <c r="E30" i="201"/>
  <c r="B30" i="201"/>
  <c r="A30" i="201"/>
  <c r="J29" i="201"/>
  <c r="I29" i="201"/>
  <c r="H29" i="201"/>
  <c r="E29" i="201"/>
  <c r="B29" i="201"/>
  <c r="A29" i="201"/>
  <c r="J28" i="201"/>
  <c r="H28" i="201"/>
  <c r="I28" i="201" s="1"/>
  <c r="E28" i="201"/>
  <c r="B28" i="201"/>
  <c r="A28" i="201"/>
  <c r="J27" i="201"/>
  <c r="H27" i="201"/>
  <c r="I27" i="201" s="1"/>
  <c r="E27" i="201"/>
  <c r="B27" i="201"/>
  <c r="A27" i="201"/>
  <c r="J26" i="201"/>
  <c r="H26" i="201"/>
  <c r="I26" i="201" s="1"/>
  <c r="E26" i="201"/>
  <c r="B26" i="201"/>
  <c r="A26" i="201"/>
  <c r="J25" i="201"/>
  <c r="H25" i="201"/>
  <c r="I25" i="201" s="1"/>
  <c r="E25" i="201"/>
  <c r="B25" i="201"/>
  <c r="A25" i="201"/>
  <c r="J24" i="201"/>
  <c r="H24" i="201"/>
  <c r="I24" i="201" s="1"/>
  <c r="E24" i="201"/>
  <c r="B24" i="201"/>
  <c r="A24" i="201"/>
  <c r="J23" i="201"/>
  <c r="H23" i="201"/>
  <c r="I23" i="201" s="1"/>
  <c r="E23" i="201"/>
  <c r="B23" i="201"/>
  <c r="A23" i="201"/>
  <c r="J22" i="201"/>
  <c r="H22" i="201"/>
  <c r="I22" i="201" s="1"/>
  <c r="E22" i="201"/>
  <c r="B22" i="201"/>
  <c r="A22" i="201"/>
  <c r="J21" i="201"/>
  <c r="I21" i="201"/>
  <c r="H21" i="201"/>
  <c r="E21" i="201"/>
  <c r="B21" i="201"/>
  <c r="A21" i="201"/>
  <c r="J20" i="201"/>
  <c r="H20" i="201"/>
  <c r="I20" i="201" s="1"/>
  <c r="E20" i="201"/>
  <c r="B20" i="201"/>
  <c r="A20" i="201"/>
  <c r="J19" i="201"/>
  <c r="H19" i="201"/>
  <c r="I19" i="201" s="1"/>
  <c r="E19" i="201"/>
  <c r="B19" i="201"/>
  <c r="A19" i="201"/>
  <c r="J18" i="201"/>
  <c r="H18" i="201"/>
  <c r="I18" i="201" s="1"/>
  <c r="E18" i="201"/>
  <c r="B18" i="201"/>
  <c r="A18" i="201"/>
  <c r="J17" i="201"/>
  <c r="H17" i="201"/>
  <c r="I17" i="201" s="1"/>
  <c r="E17" i="201"/>
  <c r="B17" i="201"/>
  <c r="A17" i="201"/>
  <c r="J16" i="201"/>
  <c r="H16" i="201"/>
  <c r="I16" i="201" s="1"/>
  <c r="E16" i="201"/>
  <c r="B16" i="201"/>
  <c r="A16" i="201"/>
  <c r="J15" i="201"/>
  <c r="H15" i="201"/>
  <c r="I15" i="201" s="1"/>
  <c r="E15" i="201"/>
  <c r="B15" i="201"/>
  <c r="A15" i="201"/>
  <c r="J14" i="201"/>
  <c r="H14" i="201"/>
  <c r="I14" i="201" s="1"/>
  <c r="E14" i="201"/>
  <c r="B14" i="201"/>
  <c r="A14" i="201"/>
  <c r="J13" i="201"/>
  <c r="H13" i="201"/>
  <c r="I13" i="201" s="1"/>
  <c r="E13" i="201"/>
  <c r="B13" i="201"/>
  <c r="A13" i="201"/>
  <c r="J12" i="201"/>
  <c r="H12" i="201"/>
  <c r="I12" i="201" s="1"/>
  <c r="E12" i="201"/>
  <c r="B12" i="201"/>
  <c r="A12" i="201"/>
  <c r="C12" i="201" s="1"/>
  <c r="J11" i="201"/>
  <c r="I11" i="201"/>
  <c r="H11" i="201"/>
  <c r="E11" i="201"/>
  <c r="B11" i="201"/>
  <c r="A11" i="201"/>
  <c r="C11" i="201" s="1"/>
  <c r="J10" i="201"/>
  <c r="H10" i="201"/>
  <c r="I10" i="201" s="1"/>
  <c r="E10" i="201"/>
  <c r="B10" i="201"/>
  <c r="A10" i="201"/>
  <c r="M5" i="201"/>
  <c r="L5" i="201"/>
  <c r="K5" i="201"/>
  <c r="J5" i="201"/>
  <c r="I5" i="201"/>
  <c r="H5" i="201"/>
  <c r="D1" i="201"/>
  <c r="A1" i="201"/>
  <c r="J41" i="200"/>
  <c r="H41" i="200"/>
  <c r="I41" i="200" s="1"/>
  <c r="E41" i="200"/>
  <c r="B41" i="200"/>
  <c r="A41" i="200"/>
  <c r="J40" i="200"/>
  <c r="H40" i="200"/>
  <c r="I40" i="200" s="1"/>
  <c r="E40" i="200"/>
  <c r="B40" i="200"/>
  <c r="A40" i="200"/>
  <c r="J39" i="200"/>
  <c r="H39" i="200"/>
  <c r="I39" i="200" s="1"/>
  <c r="E39" i="200"/>
  <c r="B39" i="200"/>
  <c r="A39" i="200"/>
  <c r="J38" i="200"/>
  <c r="H38" i="200"/>
  <c r="I38" i="200" s="1"/>
  <c r="E38" i="200"/>
  <c r="B38" i="200"/>
  <c r="A38" i="200"/>
  <c r="J37" i="200"/>
  <c r="H37" i="200"/>
  <c r="I37" i="200" s="1"/>
  <c r="E37" i="200"/>
  <c r="B37" i="200"/>
  <c r="A37" i="200"/>
  <c r="J36" i="200"/>
  <c r="H36" i="200"/>
  <c r="I36" i="200" s="1"/>
  <c r="E36" i="200"/>
  <c r="B36" i="200"/>
  <c r="A36" i="200"/>
  <c r="J35" i="200"/>
  <c r="H35" i="200"/>
  <c r="I35" i="200" s="1"/>
  <c r="E35" i="200"/>
  <c r="B35" i="200"/>
  <c r="A35" i="200"/>
  <c r="J34" i="200"/>
  <c r="H34" i="200"/>
  <c r="I34" i="200" s="1"/>
  <c r="E34" i="200"/>
  <c r="B34" i="200"/>
  <c r="A34" i="200"/>
  <c r="J33" i="200"/>
  <c r="H33" i="200"/>
  <c r="I33" i="200" s="1"/>
  <c r="E33" i="200"/>
  <c r="B33" i="200"/>
  <c r="A33" i="200"/>
  <c r="J32" i="200"/>
  <c r="H32" i="200"/>
  <c r="I32" i="200" s="1"/>
  <c r="E32" i="200"/>
  <c r="B32" i="200"/>
  <c r="A32" i="200"/>
  <c r="J31" i="200"/>
  <c r="H31" i="200"/>
  <c r="I31" i="200" s="1"/>
  <c r="E31" i="200"/>
  <c r="B31" i="200"/>
  <c r="A31" i="200"/>
  <c r="J30" i="200"/>
  <c r="H30" i="200"/>
  <c r="I30" i="200" s="1"/>
  <c r="E30" i="200"/>
  <c r="B30" i="200"/>
  <c r="A30" i="200"/>
  <c r="J29" i="200"/>
  <c r="H29" i="200"/>
  <c r="I29" i="200" s="1"/>
  <c r="E29" i="200"/>
  <c r="B29" i="200"/>
  <c r="A29" i="200"/>
  <c r="J28" i="200"/>
  <c r="H28" i="200"/>
  <c r="I28" i="200" s="1"/>
  <c r="E28" i="200"/>
  <c r="B28" i="200"/>
  <c r="A28" i="200"/>
  <c r="J27" i="200"/>
  <c r="H27" i="200"/>
  <c r="I27" i="200" s="1"/>
  <c r="E27" i="200"/>
  <c r="B27" i="200"/>
  <c r="A27" i="200"/>
  <c r="J26" i="200"/>
  <c r="H26" i="200"/>
  <c r="I26" i="200" s="1"/>
  <c r="E26" i="200"/>
  <c r="B26" i="200"/>
  <c r="A26" i="200"/>
  <c r="J25" i="200"/>
  <c r="H25" i="200"/>
  <c r="I25" i="200" s="1"/>
  <c r="E25" i="200"/>
  <c r="B25" i="200"/>
  <c r="A25" i="200"/>
  <c r="J24" i="200"/>
  <c r="H24" i="200"/>
  <c r="I24" i="200" s="1"/>
  <c r="E24" i="200"/>
  <c r="B24" i="200"/>
  <c r="A24" i="200"/>
  <c r="J23" i="200"/>
  <c r="H23" i="200"/>
  <c r="I23" i="200" s="1"/>
  <c r="E23" i="200"/>
  <c r="B23" i="200"/>
  <c r="A23" i="200"/>
  <c r="J22" i="200"/>
  <c r="H22" i="200"/>
  <c r="I22" i="200" s="1"/>
  <c r="E22" i="200"/>
  <c r="B22" i="200"/>
  <c r="A22" i="200"/>
  <c r="J21" i="200"/>
  <c r="H21" i="200"/>
  <c r="I21" i="200" s="1"/>
  <c r="E21" i="200"/>
  <c r="B21" i="200"/>
  <c r="A21" i="200"/>
  <c r="J20" i="200"/>
  <c r="H20" i="200"/>
  <c r="I20" i="200" s="1"/>
  <c r="E20" i="200"/>
  <c r="B20" i="200"/>
  <c r="A20" i="200"/>
  <c r="J19" i="200"/>
  <c r="H19" i="200"/>
  <c r="I19" i="200" s="1"/>
  <c r="E19" i="200"/>
  <c r="B19" i="200"/>
  <c r="A19" i="200"/>
  <c r="J18" i="200"/>
  <c r="H18" i="200"/>
  <c r="I18" i="200" s="1"/>
  <c r="E18" i="200"/>
  <c r="B18" i="200"/>
  <c r="A18" i="200"/>
  <c r="J17" i="200"/>
  <c r="H17" i="200"/>
  <c r="I17" i="200" s="1"/>
  <c r="E17" i="200"/>
  <c r="B17" i="200"/>
  <c r="A17" i="200"/>
  <c r="J16" i="200"/>
  <c r="H16" i="200"/>
  <c r="I16" i="200" s="1"/>
  <c r="E16" i="200"/>
  <c r="B16" i="200"/>
  <c r="A16" i="200"/>
  <c r="J15" i="200"/>
  <c r="H15" i="200"/>
  <c r="I15" i="200" s="1"/>
  <c r="E15" i="200"/>
  <c r="B15" i="200"/>
  <c r="A15" i="200"/>
  <c r="J14" i="200"/>
  <c r="H14" i="200"/>
  <c r="I14" i="200" s="1"/>
  <c r="E14" i="200"/>
  <c r="B14" i="200"/>
  <c r="A14" i="200"/>
  <c r="J13" i="200"/>
  <c r="H13" i="200"/>
  <c r="I13" i="200" s="1"/>
  <c r="E13" i="200"/>
  <c r="B13" i="200"/>
  <c r="A13" i="200"/>
  <c r="J12" i="200"/>
  <c r="H12" i="200"/>
  <c r="I12" i="200" s="1"/>
  <c r="E12" i="200"/>
  <c r="B12" i="200"/>
  <c r="A12" i="200"/>
  <c r="J11" i="200"/>
  <c r="H11" i="200"/>
  <c r="I11" i="200" s="1"/>
  <c r="E11" i="200"/>
  <c r="B11" i="200"/>
  <c r="A11" i="200"/>
  <c r="J10" i="200"/>
  <c r="H10" i="200"/>
  <c r="I10" i="200" s="1"/>
  <c r="E10" i="200"/>
  <c r="B10" i="200"/>
  <c r="A10" i="200"/>
  <c r="M5" i="200"/>
  <c r="L5" i="200"/>
  <c r="K5" i="200"/>
  <c r="J5" i="200"/>
  <c r="I5" i="200"/>
  <c r="H5" i="200"/>
  <c r="D1" i="200"/>
  <c r="A1" i="200"/>
  <c r="J41" i="199"/>
  <c r="H41" i="199"/>
  <c r="I41" i="199" s="1"/>
  <c r="E41" i="199"/>
  <c r="B41" i="199"/>
  <c r="A41" i="199"/>
  <c r="J40" i="199"/>
  <c r="H40" i="199"/>
  <c r="I40" i="199" s="1"/>
  <c r="E40" i="199"/>
  <c r="B40" i="199"/>
  <c r="A40" i="199"/>
  <c r="J39" i="199"/>
  <c r="H39" i="199"/>
  <c r="I39" i="199" s="1"/>
  <c r="E39" i="199"/>
  <c r="B39" i="199"/>
  <c r="A39" i="199"/>
  <c r="J38" i="199"/>
  <c r="H38" i="199"/>
  <c r="I38" i="199" s="1"/>
  <c r="E38" i="199"/>
  <c r="B38" i="199"/>
  <c r="A38" i="199"/>
  <c r="J37" i="199"/>
  <c r="H37" i="199"/>
  <c r="I37" i="199" s="1"/>
  <c r="E37" i="199"/>
  <c r="B37" i="199"/>
  <c r="A37" i="199"/>
  <c r="J36" i="199"/>
  <c r="H36" i="199"/>
  <c r="I36" i="199" s="1"/>
  <c r="E36" i="199"/>
  <c r="B36" i="199"/>
  <c r="A36" i="199"/>
  <c r="C36" i="199" s="1"/>
  <c r="J35" i="199"/>
  <c r="H35" i="199"/>
  <c r="I35" i="199" s="1"/>
  <c r="E35" i="199"/>
  <c r="B35" i="199"/>
  <c r="A35" i="199"/>
  <c r="J34" i="199"/>
  <c r="H34" i="199"/>
  <c r="I34" i="199" s="1"/>
  <c r="E34" i="199"/>
  <c r="B34" i="199"/>
  <c r="A34" i="199"/>
  <c r="J33" i="199"/>
  <c r="I33" i="199"/>
  <c r="H33" i="199"/>
  <c r="E33" i="199"/>
  <c r="B33" i="199"/>
  <c r="A33" i="199"/>
  <c r="J32" i="199"/>
  <c r="H32" i="199"/>
  <c r="I32" i="199" s="1"/>
  <c r="E32" i="199"/>
  <c r="B32" i="199"/>
  <c r="A32" i="199"/>
  <c r="J31" i="199"/>
  <c r="H31" i="199"/>
  <c r="I31" i="199" s="1"/>
  <c r="E31" i="199"/>
  <c r="B31" i="199"/>
  <c r="A31" i="199"/>
  <c r="J30" i="199"/>
  <c r="H30" i="199"/>
  <c r="I30" i="199" s="1"/>
  <c r="E30" i="199"/>
  <c r="B30" i="199"/>
  <c r="A30" i="199"/>
  <c r="J29" i="199"/>
  <c r="H29" i="199"/>
  <c r="I29" i="199" s="1"/>
  <c r="E29" i="199"/>
  <c r="B29" i="199"/>
  <c r="A29" i="199"/>
  <c r="J28" i="199"/>
  <c r="H28" i="199"/>
  <c r="I28" i="199" s="1"/>
  <c r="E28" i="199"/>
  <c r="B28" i="199"/>
  <c r="A28" i="199"/>
  <c r="J27" i="199"/>
  <c r="H27" i="199"/>
  <c r="I27" i="199" s="1"/>
  <c r="E27" i="199"/>
  <c r="B27" i="199"/>
  <c r="A27" i="199"/>
  <c r="J26" i="199"/>
  <c r="H26" i="199"/>
  <c r="I26" i="199" s="1"/>
  <c r="E26" i="199"/>
  <c r="B26" i="199"/>
  <c r="A26" i="199"/>
  <c r="J25" i="199"/>
  <c r="H25" i="199"/>
  <c r="I25" i="199" s="1"/>
  <c r="E25" i="199"/>
  <c r="B25" i="199"/>
  <c r="A25" i="199"/>
  <c r="J24" i="199"/>
  <c r="H24" i="199"/>
  <c r="I24" i="199" s="1"/>
  <c r="E24" i="199"/>
  <c r="B24" i="199"/>
  <c r="A24" i="199"/>
  <c r="J23" i="199"/>
  <c r="H23" i="199"/>
  <c r="I23" i="199" s="1"/>
  <c r="E23" i="199"/>
  <c r="B23" i="199"/>
  <c r="A23" i="199"/>
  <c r="J22" i="199"/>
  <c r="H22" i="199"/>
  <c r="I22" i="199" s="1"/>
  <c r="E22" i="199"/>
  <c r="B22" i="199"/>
  <c r="A22" i="199"/>
  <c r="J21" i="199"/>
  <c r="H21" i="199"/>
  <c r="I21" i="199" s="1"/>
  <c r="E21" i="199"/>
  <c r="B21" i="199"/>
  <c r="A21" i="199"/>
  <c r="J20" i="199"/>
  <c r="H20" i="199"/>
  <c r="I20" i="199" s="1"/>
  <c r="E20" i="199"/>
  <c r="B20" i="199"/>
  <c r="A20" i="199"/>
  <c r="J19" i="199"/>
  <c r="H19" i="199"/>
  <c r="I19" i="199" s="1"/>
  <c r="E19" i="199"/>
  <c r="B19" i="199"/>
  <c r="A19" i="199"/>
  <c r="J18" i="199"/>
  <c r="H18" i="199"/>
  <c r="I18" i="199" s="1"/>
  <c r="E18" i="199"/>
  <c r="B18" i="199"/>
  <c r="A18" i="199"/>
  <c r="J17" i="199"/>
  <c r="I17" i="199"/>
  <c r="H17" i="199"/>
  <c r="E17" i="199"/>
  <c r="B17" i="199"/>
  <c r="A17" i="199"/>
  <c r="J16" i="199"/>
  <c r="H16" i="199"/>
  <c r="I16" i="199" s="1"/>
  <c r="E16" i="199"/>
  <c r="B16" i="199"/>
  <c r="A16" i="199"/>
  <c r="J15" i="199"/>
  <c r="H15" i="199"/>
  <c r="I15" i="199" s="1"/>
  <c r="E15" i="199"/>
  <c r="B15" i="199"/>
  <c r="A15" i="199"/>
  <c r="J14" i="199"/>
  <c r="H14" i="199"/>
  <c r="I14" i="199" s="1"/>
  <c r="E14" i="199"/>
  <c r="B14" i="199"/>
  <c r="A14" i="199"/>
  <c r="J13" i="199"/>
  <c r="H13" i="199"/>
  <c r="I13" i="199" s="1"/>
  <c r="E13" i="199"/>
  <c r="B13" i="199"/>
  <c r="A13" i="199"/>
  <c r="J12" i="199"/>
  <c r="H12" i="199"/>
  <c r="I12" i="199" s="1"/>
  <c r="E12" i="199"/>
  <c r="B12" i="199"/>
  <c r="A12" i="199"/>
  <c r="J11" i="199"/>
  <c r="H11" i="199"/>
  <c r="I11" i="199" s="1"/>
  <c r="E11" i="199"/>
  <c r="B11" i="199"/>
  <c r="A11" i="199"/>
  <c r="J10" i="199"/>
  <c r="H10" i="199"/>
  <c r="I10" i="199" s="1"/>
  <c r="E10" i="199"/>
  <c r="B10" i="199"/>
  <c r="A10" i="199"/>
  <c r="M5" i="199"/>
  <c r="L5" i="199"/>
  <c r="K5" i="199"/>
  <c r="J5" i="199"/>
  <c r="I5" i="199"/>
  <c r="H5" i="199"/>
  <c r="D1" i="199"/>
  <c r="A1" i="199"/>
  <c r="J41" i="198"/>
  <c r="H41" i="198"/>
  <c r="I41" i="198" s="1"/>
  <c r="E41" i="198"/>
  <c r="B41" i="198"/>
  <c r="A41" i="198"/>
  <c r="J40" i="198"/>
  <c r="H40" i="198"/>
  <c r="I40" i="198" s="1"/>
  <c r="E40" i="198"/>
  <c r="B40" i="198"/>
  <c r="A40" i="198"/>
  <c r="J39" i="198"/>
  <c r="H39" i="198"/>
  <c r="I39" i="198" s="1"/>
  <c r="E39" i="198"/>
  <c r="B39" i="198"/>
  <c r="C39" i="198" s="1"/>
  <c r="A39" i="198"/>
  <c r="J38" i="198"/>
  <c r="H38" i="198"/>
  <c r="I38" i="198" s="1"/>
  <c r="E38" i="198"/>
  <c r="B38" i="198"/>
  <c r="A38" i="198"/>
  <c r="J37" i="198"/>
  <c r="I37" i="198"/>
  <c r="H37" i="198"/>
  <c r="E37" i="198"/>
  <c r="B37" i="198"/>
  <c r="A37" i="198"/>
  <c r="C37" i="198" s="1"/>
  <c r="J36" i="198"/>
  <c r="H36" i="198"/>
  <c r="I36" i="198" s="1"/>
  <c r="E36" i="198"/>
  <c r="B36" i="198"/>
  <c r="A36" i="198"/>
  <c r="J35" i="198"/>
  <c r="H35" i="198"/>
  <c r="I35" i="198" s="1"/>
  <c r="E35" i="198"/>
  <c r="B35" i="198"/>
  <c r="A35" i="198"/>
  <c r="J34" i="198"/>
  <c r="H34" i="198"/>
  <c r="I34" i="198" s="1"/>
  <c r="E34" i="198"/>
  <c r="B34" i="198"/>
  <c r="A34" i="198"/>
  <c r="J33" i="198"/>
  <c r="H33" i="198"/>
  <c r="I33" i="198" s="1"/>
  <c r="E33" i="198"/>
  <c r="B33" i="198"/>
  <c r="A33" i="198"/>
  <c r="J32" i="198"/>
  <c r="H32" i="198"/>
  <c r="I32" i="198" s="1"/>
  <c r="E32" i="198"/>
  <c r="B32" i="198"/>
  <c r="A32" i="198"/>
  <c r="J31" i="198"/>
  <c r="H31" i="198"/>
  <c r="I31" i="198" s="1"/>
  <c r="E31" i="198"/>
  <c r="B31" i="198"/>
  <c r="A31" i="198"/>
  <c r="J30" i="198"/>
  <c r="H30" i="198"/>
  <c r="I30" i="198" s="1"/>
  <c r="E30" i="198"/>
  <c r="B30" i="198"/>
  <c r="A30" i="198"/>
  <c r="J29" i="198"/>
  <c r="I29" i="198"/>
  <c r="H29" i="198"/>
  <c r="E29" i="198"/>
  <c r="B29" i="198"/>
  <c r="A29" i="198"/>
  <c r="J28" i="198"/>
  <c r="H28" i="198"/>
  <c r="I28" i="198" s="1"/>
  <c r="E28" i="198"/>
  <c r="B28" i="198"/>
  <c r="A28" i="198"/>
  <c r="J27" i="198"/>
  <c r="H27" i="198"/>
  <c r="I27" i="198" s="1"/>
  <c r="E27" i="198"/>
  <c r="B27" i="198"/>
  <c r="A27" i="198"/>
  <c r="J26" i="198"/>
  <c r="H26" i="198"/>
  <c r="I26" i="198" s="1"/>
  <c r="E26" i="198"/>
  <c r="B26" i="198"/>
  <c r="A26" i="198"/>
  <c r="J25" i="198"/>
  <c r="H25" i="198"/>
  <c r="I25" i="198" s="1"/>
  <c r="E25" i="198"/>
  <c r="B25" i="198"/>
  <c r="A25" i="198"/>
  <c r="J24" i="198"/>
  <c r="H24" i="198"/>
  <c r="I24" i="198" s="1"/>
  <c r="E24" i="198"/>
  <c r="B24" i="198"/>
  <c r="A24" i="198"/>
  <c r="J23" i="198"/>
  <c r="H23" i="198"/>
  <c r="I23" i="198" s="1"/>
  <c r="E23" i="198"/>
  <c r="B23" i="198"/>
  <c r="A23" i="198"/>
  <c r="J22" i="198"/>
  <c r="H22" i="198"/>
  <c r="I22" i="198" s="1"/>
  <c r="E22" i="198"/>
  <c r="B22" i="198"/>
  <c r="A22" i="198"/>
  <c r="J21" i="198"/>
  <c r="I21" i="198"/>
  <c r="H21" i="198"/>
  <c r="E21" i="198"/>
  <c r="B21" i="198"/>
  <c r="A21" i="198"/>
  <c r="C21" i="198" s="1"/>
  <c r="J20" i="198"/>
  <c r="H20" i="198"/>
  <c r="I20" i="198" s="1"/>
  <c r="E20" i="198"/>
  <c r="B20" i="198"/>
  <c r="A20" i="198"/>
  <c r="J19" i="198"/>
  <c r="H19" i="198"/>
  <c r="I19" i="198" s="1"/>
  <c r="E19" i="198"/>
  <c r="B19" i="198"/>
  <c r="A19" i="198"/>
  <c r="J18" i="198"/>
  <c r="H18" i="198"/>
  <c r="I18" i="198" s="1"/>
  <c r="E18" i="198"/>
  <c r="B18" i="198"/>
  <c r="A18" i="198"/>
  <c r="J17" i="198"/>
  <c r="H17" i="198"/>
  <c r="I17" i="198" s="1"/>
  <c r="E17" i="198"/>
  <c r="B17" i="198"/>
  <c r="A17" i="198"/>
  <c r="J16" i="198"/>
  <c r="H16" i="198"/>
  <c r="I16" i="198" s="1"/>
  <c r="E16" i="198"/>
  <c r="B16" i="198"/>
  <c r="A16" i="198"/>
  <c r="J15" i="198"/>
  <c r="H15" i="198"/>
  <c r="I15" i="198" s="1"/>
  <c r="E15" i="198"/>
  <c r="B15" i="198"/>
  <c r="A15" i="198"/>
  <c r="J14" i="198"/>
  <c r="H14" i="198"/>
  <c r="I14" i="198" s="1"/>
  <c r="E14" i="198"/>
  <c r="B14" i="198"/>
  <c r="A14" i="198"/>
  <c r="J13" i="198"/>
  <c r="I13" i="198"/>
  <c r="H13" i="198"/>
  <c r="E13" i="198"/>
  <c r="B13" i="198"/>
  <c r="A13" i="198"/>
  <c r="J12" i="198"/>
  <c r="H12" i="198"/>
  <c r="I12" i="198" s="1"/>
  <c r="E12" i="198"/>
  <c r="B12" i="198"/>
  <c r="A12" i="198"/>
  <c r="J11" i="198"/>
  <c r="H11" i="198"/>
  <c r="I11" i="198" s="1"/>
  <c r="E11" i="198"/>
  <c r="B11" i="198"/>
  <c r="A11" i="198"/>
  <c r="J10" i="198"/>
  <c r="H10" i="198"/>
  <c r="I10" i="198" s="1"/>
  <c r="E10" i="198"/>
  <c r="B10" i="198"/>
  <c r="A10" i="198"/>
  <c r="M5" i="198"/>
  <c r="L5" i="198"/>
  <c r="K5" i="198"/>
  <c r="J5" i="198"/>
  <c r="I5" i="198"/>
  <c r="H5" i="198"/>
  <c r="D1" i="198"/>
  <c r="A1" i="198"/>
  <c r="J41" i="197"/>
  <c r="H41" i="197"/>
  <c r="I41" i="197" s="1"/>
  <c r="E41" i="197"/>
  <c r="B41" i="197"/>
  <c r="A41" i="197"/>
  <c r="J40" i="197"/>
  <c r="H40" i="197"/>
  <c r="I40" i="197" s="1"/>
  <c r="E40" i="197"/>
  <c r="B40" i="197"/>
  <c r="A40" i="197"/>
  <c r="J39" i="197"/>
  <c r="H39" i="197"/>
  <c r="I39" i="197" s="1"/>
  <c r="E39" i="197"/>
  <c r="B39" i="197"/>
  <c r="C39" i="197" s="1"/>
  <c r="A39" i="197"/>
  <c r="J38" i="197"/>
  <c r="H38" i="197"/>
  <c r="I38" i="197" s="1"/>
  <c r="E38" i="197"/>
  <c r="B38" i="197"/>
  <c r="A38" i="197"/>
  <c r="J37" i="197"/>
  <c r="I37" i="197"/>
  <c r="H37" i="197"/>
  <c r="E37" i="197"/>
  <c r="B37" i="197"/>
  <c r="A37" i="197"/>
  <c r="C37" i="197" s="1"/>
  <c r="J36" i="197"/>
  <c r="H36" i="197"/>
  <c r="I36" i="197" s="1"/>
  <c r="E36" i="197"/>
  <c r="B36" i="197"/>
  <c r="A36" i="197"/>
  <c r="J35" i="197"/>
  <c r="H35" i="197"/>
  <c r="I35" i="197" s="1"/>
  <c r="E35" i="197"/>
  <c r="B35" i="197"/>
  <c r="A35" i="197"/>
  <c r="J34" i="197"/>
  <c r="H34" i="197"/>
  <c r="I34" i="197" s="1"/>
  <c r="E34" i="197"/>
  <c r="B34" i="197"/>
  <c r="A34" i="197"/>
  <c r="J33" i="197"/>
  <c r="H33" i="197"/>
  <c r="I33" i="197" s="1"/>
  <c r="E33" i="197"/>
  <c r="B33" i="197"/>
  <c r="A33" i="197"/>
  <c r="J32" i="197"/>
  <c r="H32" i="197"/>
  <c r="I32" i="197" s="1"/>
  <c r="E32" i="197"/>
  <c r="B32" i="197"/>
  <c r="A32" i="197"/>
  <c r="J31" i="197"/>
  <c r="H31" i="197"/>
  <c r="I31" i="197" s="1"/>
  <c r="E31" i="197"/>
  <c r="B31" i="197"/>
  <c r="A31" i="197"/>
  <c r="J30" i="197"/>
  <c r="H30" i="197"/>
  <c r="I30" i="197" s="1"/>
  <c r="E30" i="197"/>
  <c r="B30" i="197"/>
  <c r="A30" i="197"/>
  <c r="J29" i="197"/>
  <c r="I29" i="197"/>
  <c r="H29" i="197"/>
  <c r="E29" i="197"/>
  <c r="B29" i="197"/>
  <c r="A29" i="197"/>
  <c r="J28" i="197"/>
  <c r="H28" i="197"/>
  <c r="I28" i="197" s="1"/>
  <c r="E28" i="197"/>
  <c r="B28" i="197"/>
  <c r="A28" i="197"/>
  <c r="J27" i="197"/>
  <c r="H27" i="197"/>
  <c r="I27" i="197" s="1"/>
  <c r="E27" i="197"/>
  <c r="B27" i="197"/>
  <c r="A27" i="197"/>
  <c r="J26" i="197"/>
  <c r="H26" i="197"/>
  <c r="I26" i="197" s="1"/>
  <c r="E26" i="197"/>
  <c r="B26" i="197"/>
  <c r="A26" i="197"/>
  <c r="J25" i="197"/>
  <c r="H25" i="197"/>
  <c r="I25" i="197" s="1"/>
  <c r="E25" i="197"/>
  <c r="B25" i="197"/>
  <c r="A25" i="197"/>
  <c r="J24" i="197"/>
  <c r="H24" i="197"/>
  <c r="I24" i="197" s="1"/>
  <c r="E24" i="197"/>
  <c r="B24" i="197"/>
  <c r="A24" i="197"/>
  <c r="J23" i="197"/>
  <c r="H23" i="197"/>
  <c r="I23" i="197" s="1"/>
  <c r="E23" i="197"/>
  <c r="B23" i="197"/>
  <c r="A23" i="197"/>
  <c r="J22" i="197"/>
  <c r="H22" i="197"/>
  <c r="I22" i="197" s="1"/>
  <c r="E22" i="197"/>
  <c r="B22" i="197"/>
  <c r="A22" i="197"/>
  <c r="J21" i="197"/>
  <c r="I21" i="197"/>
  <c r="H21" i="197"/>
  <c r="E21" i="197"/>
  <c r="B21" i="197"/>
  <c r="A21" i="197"/>
  <c r="C21" i="197" s="1"/>
  <c r="J20" i="197"/>
  <c r="H20" i="197"/>
  <c r="I20" i="197" s="1"/>
  <c r="E20" i="197"/>
  <c r="B20" i="197"/>
  <c r="A20" i="197"/>
  <c r="J19" i="197"/>
  <c r="H19" i="197"/>
  <c r="I19" i="197" s="1"/>
  <c r="E19" i="197"/>
  <c r="B19" i="197"/>
  <c r="A19" i="197"/>
  <c r="J18" i="197"/>
  <c r="H18" i="197"/>
  <c r="I18" i="197" s="1"/>
  <c r="E18" i="197"/>
  <c r="B18" i="197"/>
  <c r="A18" i="197"/>
  <c r="J17" i="197"/>
  <c r="H17" i="197"/>
  <c r="I17" i="197" s="1"/>
  <c r="E17" i="197"/>
  <c r="B17" i="197"/>
  <c r="A17" i="197"/>
  <c r="J16" i="197"/>
  <c r="H16" i="197"/>
  <c r="I16" i="197" s="1"/>
  <c r="E16" i="197"/>
  <c r="B16" i="197"/>
  <c r="A16" i="197"/>
  <c r="J15" i="197"/>
  <c r="H15" i="197"/>
  <c r="I15" i="197" s="1"/>
  <c r="E15" i="197"/>
  <c r="B15" i="197"/>
  <c r="A15" i="197"/>
  <c r="J14" i="197"/>
  <c r="H14" i="197"/>
  <c r="I14" i="197" s="1"/>
  <c r="E14" i="197"/>
  <c r="B14" i="197"/>
  <c r="A14" i="197"/>
  <c r="J13" i="197"/>
  <c r="I13" i="197"/>
  <c r="H13" i="197"/>
  <c r="E13" i="197"/>
  <c r="B13" i="197"/>
  <c r="A13" i="197"/>
  <c r="J12" i="197"/>
  <c r="H12" i="197"/>
  <c r="I12" i="197" s="1"/>
  <c r="E12" i="197"/>
  <c r="B12" i="197"/>
  <c r="A12" i="197"/>
  <c r="J11" i="197"/>
  <c r="H11" i="197"/>
  <c r="I11" i="197" s="1"/>
  <c r="E11" i="197"/>
  <c r="B11" i="197"/>
  <c r="A11" i="197"/>
  <c r="J10" i="197"/>
  <c r="H10" i="197"/>
  <c r="I10" i="197" s="1"/>
  <c r="E10" i="197"/>
  <c r="B10" i="197"/>
  <c r="A10" i="197"/>
  <c r="M5" i="197"/>
  <c r="L5" i="197"/>
  <c r="K5" i="197"/>
  <c r="J5" i="197"/>
  <c r="I5" i="197"/>
  <c r="H5" i="197"/>
  <c r="D1" i="197"/>
  <c r="A1" i="197"/>
  <c r="J41" i="196"/>
  <c r="H41" i="196"/>
  <c r="I41" i="196" s="1"/>
  <c r="E41" i="196"/>
  <c r="B41" i="196"/>
  <c r="A41" i="196"/>
  <c r="J40" i="196"/>
  <c r="H40" i="196"/>
  <c r="I40" i="196" s="1"/>
  <c r="E40" i="196"/>
  <c r="B40" i="196"/>
  <c r="A40" i="196"/>
  <c r="J39" i="196"/>
  <c r="H39" i="196"/>
  <c r="I39" i="196" s="1"/>
  <c r="E39" i="196"/>
  <c r="B39" i="196"/>
  <c r="A39" i="196"/>
  <c r="J38" i="196"/>
  <c r="H38" i="196"/>
  <c r="I38" i="196" s="1"/>
  <c r="E38" i="196"/>
  <c r="B38" i="196"/>
  <c r="A38" i="196"/>
  <c r="J37" i="196"/>
  <c r="H37" i="196"/>
  <c r="I37" i="196" s="1"/>
  <c r="E37" i="196"/>
  <c r="B37" i="196"/>
  <c r="A37" i="196"/>
  <c r="J36" i="196"/>
  <c r="H36" i="196"/>
  <c r="I36" i="196" s="1"/>
  <c r="E36" i="196"/>
  <c r="B36" i="196"/>
  <c r="A36" i="196"/>
  <c r="C36" i="196" s="1"/>
  <c r="J35" i="196"/>
  <c r="H35" i="196"/>
  <c r="I35" i="196" s="1"/>
  <c r="E35" i="196"/>
  <c r="B35" i="196"/>
  <c r="A35" i="196"/>
  <c r="J34" i="196"/>
  <c r="H34" i="196"/>
  <c r="I34" i="196" s="1"/>
  <c r="E34" i="196"/>
  <c r="B34" i="196"/>
  <c r="A34" i="196"/>
  <c r="J33" i="196"/>
  <c r="I33" i="196"/>
  <c r="H33" i="196"/>
  <c r="E33" i="196"/>
  <c r="B33" i="196"/>
  <c r="A33" i="196"/>
  <c r="J32" i="196"/>
  <c r="H32" i="196"/>
  <c r="I32" i="196" s="1"/>
  <c r="E32" i="196"/>
  <c r="B32" i="196"/>
  <c r="A32" i="196"/>
  <c r="J31" i="196"/>
  <c r="H31" i="196"/>
  <c r="I31" i="196" s="1"/>
  <c r="E31" i="196"/>
  <c r="B31" i="196"/>
  <c r="A31" i="196"/>
  <c r="J30" i="196"/>
  <c r="H30" i="196"/>
  <c r="I30" i="196" s="1"/>
  <c r="E30" i="196"/>
  <c r="B30" i="196"/>
  <c r="A30" i="196"/>
  <c r="J29" i="196"/>
  <c r="H29" i="196"/>
  <c r="I29" i="196" s="1"/>
  <c r="E29" i="196"/>
  <c r="B29" i="196"/>
  <c r="A29" i="196"/>
  <c r="J28" i="196"/>
  <c r="H28" i="196"/>
  <c r="I28" i="196" s="1"/>
  <c r="E28" i="196"/>
  <c r="B28" i="196"/>
  <c r="A28" i="196"/>
  <c r="J27" i="196"/>
  <c r="H27" i="196"/>
  <c r="I27" i="196" s="1"/>
  <c r="E27" i="196"/>
  <c r="B27" i="196"/>
  <c r="A27" i="196"/>
  <c r="J26" i="196"/>
  <c r="H26" i="196"/>
  <c r="I26" i="196" s="1"/>
  <c r="E26" i="196"/>
  <c r="B26" i="196"/>
  <c r="A26" i="196"/>
  <c r="J25" i="196"/>
  <c r="H25" i="196"/>
  <c r="I25" i="196" s="1"/>
  <c r="E25" i="196"/>
  <c r="B25" i="196"/>
  <c r="A25" i="196"/>
  <c r="J24" i="196"/>
  <c r="H24" i="196"/>
  <c r="I24" i="196" s="1"/>
  <c r="E24" i="196"/>
  <c r="B24" i="196"/>
  <c r="A24" i="196"/>
  <c r="J23" i="196"/>
  <c r="H23" i="196"/>
  <c r="I23" i="196" s="1"/>
  <c r="E23" i="196"/>
  <c r="B23" i="196"/>
  <c r="A23" i="196"/>
  <c r="J22" i="196"/>
  <c r="H22" i="196"/>
  <c r="I22" i="196" s="1"/>
  <c r="E22" i="196"/>
  <c r="B22" i="196"/>
  <c r="A22" i="196"/>
  <c r="J21" i="196"/>
  <c r="H21" i="196"/>
  <c r="I21" i="196" s="1"/>
  <c r="E21" i="196"/>
  <c r="B21" i="196"/>
  <c r="A21" i="196"/>
  <c r="J20" i="196"/>
  <c r="H20" i="196"/>
  <c r="I20" i="196" s="1"/>
  <c r="E20" i="196"/>
  <c r="B20" i="196"/>
  <c r="A20" i="196"/>
  <c r="J19" i="196"/>
  <c r="H19" i="196"/>
  <c r="I19" i="196" s="1"/>
  <c r="E19" i="196"/>
  <c r="B19" i="196"/>
  <c r="A19" i="196"/>
  <c r="J18" i="196"/>
  <c r="H18" i="196"/>
  <c r="I18" i="196" s="1"/>
  <c r="E18" i="196"/>
  <c r="B18" i="196"/>
  <c r="A18" i="196"/>
  <c r="J17" i="196"/>
  <c r="I17" i="196"/>
  <c r="H17" i="196"/>
  <c r="E17" i="196"/>
  <c r="B17" i="196"/>
  <c r="A17" i="196"/>
  <c r="J16" i="196"/>
  <c r="H16" i="196"/>
  <c r="I16" i="196" s="1"/>
  <c r="E16" i="196"/>
  <c r="B16" i="196"/>
  <c r="A16" i="196"/>
  <c r="J15" i="196"/>
  <c r="H15" i="196"/>
  <c r="I15" i="196" s="1"/>
  <c r="E15" i="196"/>
  <c r="B15" i="196"/>
  <c r="A15" i="196"/>
  <c r="J14" i="196"/>
  <c r="H14" i="196"/>
  <c r="I14" i="196" s="1"/>
  <c r="E14" i="196"/>
  <c r="B14" i="196"/>
  <c r="A14" i="196"/>
  <c r="J13" i="196"/>
  <c r="H13" i="196"/>
  <c r="I13" i="196" s="1"/>
  <c r="E13" i="196"/>
  <c r="B13" i="196"/>
  <c r="A13" i="196"/>
  <c r="J12" i="196"/>
  <c r="H12" i="196"/>
  <c r="I12" i="196" s="1"/>
  <c r="E12" i="196"/>
  <c r="B12" i="196"/>
  <c r="A12" i="196"/>
  <c r="J11" i="196"/>
  <c r="H11" i="196"/>
  <c r="I11" i="196" s="1"/>
  <c r="E11" i="196"/>
  <c r="B11" i="196"/>
  <c r="A11" i="196"/>
  <c r="J10" i="196"/>
  <c r="H10" i="196"/>
  <c r="I10" i="196" s="1"/>
  <c r="E10" i="196"/>
  <c r="B10" i="196"/>
  <c r="A10" i="196"/>
  <c r="M5" i="196"/>
  <c r="L5" i="196"/>
  <c r="K5" i="196"/>
  <c r="J5" i="196"/>
  <c r="I5" i="196"/>
  <c r="H5" i="196"/>
  <c r="D1" i="196"/>
  <c r="A1" i="196"/>
  <c r="J41" i="195"/>
  <c r="H41" i="195"/>
  <c r="I41" i="195" s="1"/>
  <c r="E41" i="195"/>
  <c r="B41" i="195"/>
  <c r="A41" i="195"/>
  <c r="J40" i="195"/>
  <c r="H40" i="195"/>
  <c r="I40" i="195" s="1"/>
  <c r="E40" i="195"/>
  <c r="B40" i="195"/>
  <c r="A40" i="195"/>
  <c r="J39" i="195"/>
  <c r="H39" i="195"/>
  <c r="I39" i="195" s="1"/>
  <c r="E39" i="195"/>
  <c r="B39" i="195"/>
  <c r="A39" i="195"/>
  <c r="J38" i="195"/>
  <c r="H38" i="195"/>
  <c r="I38" i="195" s="1"/>
  <c r="E38" i="195"/>
  <c r="B38" i="195"/>
  <c r="A38" i="195"/>
  <c r="J37" i="195"/>
  <c r="H37" i="195"/>
  <c r="I37" i="195" s="1"/>
  <c r="E37" i="195"/>
  <c r="B37" i="195"/>
  <c r="A37" i="195"/>
  <c r="J36" i="195"/>
  <c r="H36" i="195"/>
  <c r="I36" i="195" s="1"/>
  <c r="E36" i="195"/>
  <c r="B36" i="195"/>
  <c r="A36" i="195"/>
  <c r="C36" i="195" s="1"/>
  <c r="J35" i="195"/>
  <c r="H35" i="195"/>
  <c r="I35" i="195" s="1"/>
  <c r="E35" i="195"/>
  <c r="B35" i="195"/>
  <c r="A35" i="195"/>
  <c r="J34" i="195"/>
  <c r="H34" i="195"/>
  <c r="I34" i="195" s="1"/>
  <c r="E34" i="195"/>
  <c r="B34" i="195"/>
  <c r="A34" i="195"/>
  <c r="J33" i="195"/>
  <c r="H33" i="195"/>
  <c r="I33" i="195" s="1"/>
  <c r="E33" i="195"/>
  <c r="B33" i="195"/>
  <c r="A33" i="195"/>
  <c r="J32" i="195"/>
  <c r="H32" i="195"/>
  <c r="I32" i="195" s="1"/>
  <c r="E32" i="195"/>
  <c r="B32" i="195"/>
  <c r="A32" i="195"/>
  <c r="C32" i="195" s="1"/>
  <c r="J31" i="195"/>
  <c r="H31" i="195"/>
  <c r="I31" i="195" s="1"/>
  <c r="E31" i="195"/>
  <c r="B31" i="195"/>
  <c r="A31" i="195"/>
  <c r="J30" i="195"/>
  <c r="H30" i="195"/>
  <c r="I30" i="195" s="1"/>
  <c r="E30" i="195"/>
  <c r="B30" i="195"/>
  <c r="A30" i="195"/>
  <c r="J29" i="195"/>
  <c r="H29" i="195"/>
  <c r="I29" i="195" s="1"/>
  <c r="E29" i="195"/>
  <c r="B29" i="195"/>
  <c r="A29" i="195"/>
  <c r="J28" i="195"/>
  <c r="H28" i="195"/>
  <c r="I28" i="195" s="1"/>
  <c r="E28" i="195"/>
  <c r="B28" i="195"/>
  <c r="A28" i="195"/>
  <c r="C28" i="195" s="1"/>
  <c r="J27" i="195"/>
  <c r="H27" i="195"/>
  <c r="I27" i="195" s="1"/>
  <c r="E27" i="195"/>
  <c r="B27" i="195"/>
  <c r="A27" i="195"/>
  <c r="J26" i="195"/>
  <c r="H26" i="195"/>
  <c r="I26" i="195" s="1"/>
  <c r="E26" i="195"/>
  <c r="B26" i="195"/>
  <c r="A26" i="195"/>
  <c r="J25" i="195"/>
  <c r="H25" i="195"/>
  <c r="I25" i="195" s="1"/>
  <c r="E25" i="195"/>
  <c r="B25" i="195"/>
  <c r="A25" i="195"/>
  <c r="J24" i="195"/>
  <c r="H24" i="195"/>
  <c r="I24" i="195" s="1"/>
  <c r="E24" i="195"/>
  <c r="B24" i="195"/>
  <c r="A24" i="195"/>
  <c r="C24" i="195" s="1"/>
  <c r="J23" i="195"/>
  <c r="H23" i="195"/>
  <c r="I23" i="195" s="1"/>
  <c r="E23" i="195"/>
  <c r="B23" i="195"/>
  <c r="A23" i="195"/>
  <c r="J22" i="195"/>
  <c r="H22" i="195"/>
  <c r="I22" i="195" s="1"/>
  <c r="E22" i="195"/>
  <c r="B22" i="195"/>
  <c r="A22" i="195"/>
  <c r="J21" i="195"/>
  <c r="H21" i="195"/>
  <c r="I21" i="195" s="1"/>
  <c r="E21" i="195"/>
  <c r="B21" i="195"/>
  <c r="A21" i="195"/>
  <c r="J20" i="195"/>
  <c r="H20" i="195"/>
  <c r="I20" i="195" s="1"/>
  <c r="E20" i="195"/>
  <c r="B20" i="195"/>
  <c r="A20" i="195"/>
  <c r="C20" i="195" s="1"/>
  <c r="J19" i="195"/>
  <c r="H19" i="195"/>
  <c r="I19" i="195" s="1"/>
  <c r="E19" i="195"/>
  <c r="B19" i="195"/>
  <c r="A19" i="195"/>
  <c r="J18" i="195"/>
  <c r="H18" i="195"/>
  <c r="I18" i="195" s="1"/>
  <c r="E18" i="195"/>
  <c r="B18" i="195"/>
  <c r="A18" i="195"/>
  <c r="J17" i="195"/>
  <c r="H17" i="195"/>
  <c r="I17" i="195" s="1"/>
  <c r="E17" i="195"/>
  <c r="B17" i="195"/>
  <c r="A17" i="195"/>
  <c r="J16" i="195"/>
  <c r="H16" i="195"/>
  <c r="I16" i="195" s="1"/>
  <c r="E16" i="195"/>
  <c r="B16" i="195"/>
  <c r="A16" i="195"/>
  <c r="C16" i="195" s="1"/>
  <c r="J15" i="195"/>
  <c r="H15" i="195"/>
  <c r="I15" i="195" s="1"/>
  <c r="E15" i="195"/>
  <c r="B15" i="195"/>
  <c r="A15" i="195"/>
  <c r="J14" i="195"/>
  <c r="H14" i="195"/>
  <c r="I14" i="195" s="1"/>
  <c r="E14" i="195"/>
  <c r="B14" i="195"/>
  <c r="A14" i="195"/>
  <c r="J13" i="195"/>
  <c r="H13" i="195"/>
  <c r="I13" i="195" s="1"/>
  <c r="E13" i="195"/>
  <c r="B13" i="195"/>
  <c r="A13" i="195"/>
  <c r="J12" i="195"/>
  <c r="H12" i="195"/>
  <c r="I12" i="195" s="1"/>
  <c r="E12" i="195"/>
  <c r="B12" i="195"/>
  <c r="A12" i="195"/>
  <c r="C12" i="195" s="1"/>
  <c r="J11" i="195"/>
  <c r="H11" i="195"/>
  <c r="I11" i="195" s="1"/>
  <c r="E11" i="195"/>
  <c r="B11" i="195"/>
  <c r="A11" i="195"/>
  <c r="J10" i="195"/>
  <c r="H10" i="195"/>
  <c r="I10" i="195" s="1"/>
  <c r="E10" i="195"/>
  <c r="B10" i="195"/>
  <c r="A10" i="195"/>
  <c r="M5" i="195"/>
  <c r="L5" i="195"/>
  <c r="K5" i="195"/>
  <c r="J5" i="195"/>
  <c r="I5" i="195"/>
  <c r="H5" i="195"/>
  <c r="D1" i="195"/>
  <c r="A1" i="195"/>
  <c r="J41" i="194"/>
  <c r="H41" i="194"/>
  <c r="I41" i="194" s="1"/>
  <c r="E41" i="194"/>
  <c r="B41" i="194"/>
  <c r="A41" i="194"/>
  <c r="J40" i="194"/>
  <c r="H40" i="194"/>
  <c r="I40" i="194" s="1"/>
  <c r="E40" i="194"/>
  <c r="B40" i="194"/>
  <c r="A40" i="194"/>
  <c r="C40" i="194" s="1"/>
  <c r="J39" i="194"/>
  <c r="I39" i="194"/>
  <c r="H39" i="194"/>
  <c r="E39" i="194"/>
  <c r="B39" i="194"/>
  <c r="A39" i="194"/>
  <c r="J38" i="194"/>
  <c r="H38" i="194"/>
  <c r="I38" i="194" s="1"/>
  <c r="E38" i="194"/>
  <c r="B38" i="194"/>
  <c r="A38" i="194"/>
  <c r="J37" i="194"/>
  <c r="H37" i="194"/>
  <c r="I37" i="194" s="1"/>
  <c r="E37" i="194"/>
  <c r="B37" i="194"/>
  <c r="A37" i="194"/>
  <c r="J36" i="194"/>
  <c r="H36" i="194"/>
  <c r="I36" i="194" s="1"/>
  <c r="E36" i="194"/>
  <c r="B36" i="194"/>
  <c r="A36" i="194"/>
  <c r="J35" i="194"/>
  <c r="H35" i="194"/>
  <c r="I35" i="194" s="1"/>
  <c r="E35" i="194"/>
  <c r="B35" i="194"/>
  <c r="A35" i="194"/>
  <c r="J34" i="194"/>
  <c r="H34" i="194"/>
  <c r="I34" i="194" s="1"/>
  <c r="E34" i="194"/>
  <c r="B34" i="194"/>
  <c r="A34" i="194"/>
  <c r="J33" i="194"/>
  <c r="H33" i="194"/>
  <c r="I33" i="194" s="1"/>
  <c r="E33" i="194"/>
  <c r="B33" i="194"/>
  <c r="A33" i="194"/>
  <c r="J32" i="194"/>
  <c r="H32" i="194"/>
  <c r="I32" i="194" s="1"/>
  <c r="E32" i="194"/>
  <c r="B32" i="194"/>
  <c r="A32" i="194"/>
  <c r="J31" i="194"/>
  <c r="I31" i="194"/>
  <c r="H31" i="194"/>
  <c r="E31" i="194"/>
  <c r="B31" i="194"/>
  <c r="A31" i="194"/>
  <c r="J30" i="194"/>
  <c r="H30" i="194"/>
  <c r="I30" i="194" s="1"/>
  <c r="E30" i="194"/>
  <c r="B30" i="194"/>
  <c r="A30" i="194"/>
  <c r="J29" i="194"/>
  <c r="H29" i="194"/>
  <c r="I29" i="194" s="1"/>
  <c r="E29" i="194"/>
  <c r="B29" i="194"/>
  <c r="A29" i="194"/>
  <c r="J28" i="194"/>
  <c r="H28" i="194"/>
  <c r="I28" i="194" s="1"/>
  <c r="E28" i="194"/>
  <c r="B28" i="194"/>
  <c r="A28" i="194"/>
  <c r="J27" i="194"/>
  <c r="H27" i="194"/>
  <c r="I27" i="194" s="1"/>
  <c r="E27" i="194"/>
  <c r="B27" i="194"/>
  <c r="A27" i="194"/>
  <c r="J26" i="194"/>
  <c r="H26" i="194"/>
  <c r="I26" i="194" s="1"/>
  <c r="E26" i="194"/>
  <c r="B26" i="194"/>
  <c r="A26" i="194"/>
  <c r="J25" i="194"/>
  <c r="H25" i="194"/>
  <c r="I25" i="194" s="1"/>
  <c r="E25" i="194"/>
  <c r="B25" i="194"/>
  <c r="A25" i="194"/>
  <c r="J24" i="194"/>
  <c r="H24" i="194"/>
  <c r="I24" i="194" s="1"/>
  <c r="E24" i="194"/>
  <c r="B24" i="194"/>
  <c r="A24" i="194"/>
  <c r="C24" i="194" s="1"/>
  <c r="J23" i="194"/>
  <c r="I23" i="194"/>
  <c r="H23" i="194"/>
  <c r="E23" i="194"/>
  <c r="B23" i="194"/>
  <c r="A23" i="194"/>
  <c r="J22" i="194"/>
  <c r="H22" i="194"/>
  <c r="I22" i="194" s="1"/>
  <c r="E22" i="194"/>
  <c r="B22" i="194"/>
  <c r="A22" i="194"/>
  <c r="J21" i="194"/>
  <c r="H21" i="194"/>
  <c r="I21" i="194" s="1"/>
  <c r="E21" i="194"/>
  <c r="B21" i="194"/>
  <c r="A21" i="194"/>
  <c r="J20" i="194"/>
  <c r="H20" i="194"/>
  <c r="I20" i="194" s="1"/>
  <c r="E20" i="194"/>
  <c r="B20" i="194"/>
  <c r="A20" i="194"/>
  <c r="J19" i="194"/>
  <c r="H19" i="194"/>
  <c r="I19" i="194" s="1"/>
  <c r="E19" i="194"/>
  <c r="B19" i="194"/>
  <c r="A19" i="194"/>
  <c r="J18" i="194"/>
  <c r="H18" i="194"/>
  <c r="I18" i="194" s="1"/>
  <c r="E18" i="194"/>
  <c r="B18" i="194"/>
  <c r="A18" i="194"/>
  <c r="J17" i="194"/>
  <c r="H17" i="194"/>
  <c r="I17" i="194" s="1"/>
  <c r="E17" i="194"/>
  <c r="B17" i="194"/>
  <c r="A17" i="194"/>
  <c r="J16" i="194"/>
  <c r="H16" i="194"/>
  <c r="I16" i="194" s="1"/>
  <c r="E16" i="194"/>
  <c r="B16" i="194"/>
  <c r="A16" i="194"/>
  <c r="J15" i="194"/>
  <c r="I15" i="194"/>
  <c r="H15" i="194"/>
  <c r="E15" i="194"/>
  <c r="B15" i="194"/>
  <c r="A15" i="194"/>
  <c r="J14" i="194"/>
  <c r="H14" i="194"/>
  <c r="I14" i="194" s="1"/>
  <c r="E14" i="194"/>
  <c r="B14" i="194"/>
  <c r="A14" i="194"/>
  <c r="J13" i="194"/>
  <c r="H13" i="194"/>
  <c r="I13" i="194" s="1"/>
  <c r="E13" i="194"/>
  <c r="B13" i="194"/>
  <c r="A13" i="194"/>
  <c r="J12" i="194"/>
  <c r="H12" i="194"/>
  <c r="I12" i="194" s="1"/>
  <c r="E12" i="194"/>
  <c r="B12" i="194"/>
  <c r="A12" i="194"/>
  <c r="J11" i="194"/>
  <c r="H11" i="194"/>
  <c r="I11" i="194" s="1"/>
  <c r="E11" i="194"/>
  <c r="B11" i="194"/>
  <c r="A11" i="194"/>
  <c r="J10" i="194"/>
  <c r="H10" i="194"/>
  <c r="I10" i="194" s="1"/>
  <c r="E10" i="194"/>
  <c r="B10" i="194"/>
  <c r="A10" i="194"/>
  <c r="M5" i="194"/>
  <c r="L5" i="194"/>
  <c r="K5" i="194"/>
  <c r="J5" i="194"/>
  <c r="I5" i="194"/>
  <c r="H5" i="194"/>
  <c r="D1" i="194"/>
  <c r="A1" i="194"/>
  <c r="J41" i="193"/>
  <c r="H41" i="193"/>
  <c r="I41" i="193" s="1"/>
  <c r="E41" i="193"/>
  <c r="B41" i="193"/>
  <c r="A41" i="193"/>
  <c r="J40" i="193"/>
  <c r="H40" i="193"/>
  <c r="I40" i="193" s="1"/>
  <c r="E40" i="193"/>
  <c r="B40" i="193"/>
  <c r="A40" i="193"/>
  <c r="C40" i="193" s="1"/>
  <c r="J39" i="193"/>
  <c r="I39" i="193"/>
  <c r="H39" i="193"/>
  <c r="E39" i="193"/>
  <c r="B39" i="193"/>
  <c r="A39" i="193"/>
  <c r="J38" i="193"/>
  <c r="H38" i="193"/>
  <c r="I38" i="193" s="1"/>
  <c r="E38" i="193"/>
  <c r="B38" i="193"/>
  <c r="A38" i="193"/>
  <c r="J37" i="193"/>
  <c r="H37" i="193"/>
  <c r="I37" i="193" s="1"/>
  <c r="E37" i="193"/>
  <c r="B37" i="193"/>
  <c r="A37" i="193"/>
  <c r="J36" i="193"/>
  <c r="H36" i="193"/>
  <c r="I36" i="193" s="1"/>
  <c r="E36" i="193"/>
  <c r="B36" i="193"/>
  <c r="A36" i="193"/>
  <c r="J35" i="193"/>
  <c r="H35" i="193"/>
  <c r="I35" i="193" s="1"/>
  <c r="E35" i="193"/>
  <c r="B35" i="193"/>
  <c r="A35" i="193"/>
  <c r="J34" i="193"/>
  <c r="H34" i="193"/>
  <c r="I34" i="193" s="1"/>
  <c r="E34" i="193"/>
  <c r="B34" i="193"/>
  <c r="A34" i="193"/>
  <c r="J33" i="193"/>
  <c r="H33" i="193"/>
  <c r="I33" i="193" s="1"/>
  <c r="E33" i="193"/>
  <c r="B33" i="193"/>
  <c r="A33" i="193"/>
  <c r="J32" i="193"/>
  <c r="H32" i="193"/>
  <c r="I32" i="193" s="1"/>
  <c r="E32" i="193"/>
  <c r="B32" i="193"/>
  <c r="A32" i="193"/>
  <c r="J31" i="193"/>
  <c r="I31" i="193"/>
  <c r="H31" i="193"/>
  <c r="E31" i="193"/>
  <c r="B31" i="193"/>
  <c r="A31" i="193"/>
  <c r="C31" i="193" s="1"/>
  <c r="J30" i="193"/>
  <c r="H30" i="193"/>
  <c r="I30" i="193" s="1"/>
  <c r="E30" i="193"/>
  <c r="B30" i="193"/>
  <c r="A30" i="193"/>
  <c r="J29" i="193"/>
  <c r="H29" i="193"/>
  <c r="I29" i="193" s="1"/>
  <c r="E29" i="193"/>
  <c r="B29" i="193"/>
  <c r="A29" i="193"/>
  <c r="J28" i="193"/>
  <c r="H28" i="193"/>
  <c r="I28" i="193" s="1"/>
  <c r="E28" i="193"/>
  <c r="B28" i="193"/>
  <c r="A28" i="193"/>
  <c r="J27" i="193"/>
  <c r="H27" i="193"/>
  <c r="I27" i="193" s="1"/>
  <c r="E27" i="193"/>
  <c r="B27" i="193"/>
  <c r="A27" i="193"/>
  <c r="J26" i="193"/>
  <c r="H26" i="193"/>
  <c r="I26" i="193" s="1"/>
  <c r="E26" i="193"/>
  <c r="B26" i="193"/>
  <c r="A26" i="193"/>
  <c r="J25" i="193"/>
  <c r="H25" i="193"/>
  <c r="I25" i="193" s="1"/>
  <c r="E25" i="193"/>
  <c r="B25" i="193"/>
  <c r="A25" i="193"/>
  <c r="J24" i="193"/>
  <c r="H24" i="193"/>
  <c r="I24" i="193" s="1"/>
  <c r="E24" i="193"/>
  <c r="B24" i="193"/>
  <c r="A24" i="193"/>
  <c r="C24" i="193" s="1"/>
  <c r="J23" i="193"/>
  <c r="I23" i="193"/>
  <c r="H23" i="193"/>
  <c r="E23" i="193"/>
  <c r="B23" i="193"/>
  <c r="A23" i="193"/>
  <c r="J22" i="193"/>
  <c r="H22" i="193"/>
  <c r="I22" i="193" s="1"/>
  <c r="E22" i="193"/>
  <c r="B22" i="193"/>
  <c r="A22" i="193"/>
  <c r="J21" i="193"/>
  <c r="H21" i="193"/>
  <c r="I21" i="193" s="1"/>
  <c r="E21" i="193"/>
  <c r="B21" i="193"/>
  <c r="A21" i="193"/>
  <c r="J20" i="193"/>
  <c r="H20" i="193"/>
  <c r="I20" i="193" s="1"/>
  <c r="E20" i="193"/>
  <c r="B20" i="193"/>
  <c r="A20" i="193"/>
  <c r="J19" i="193"/>
  <c r="H19" i="193"/>
  <c r="I19" i="193" s="1"/>
  <c r="E19" i="193"/>
  <c r="B19" i="193"/>
  <c r="A19" i="193"/>
  <c r="J18" i="193"/>
  <c r="H18" i="193"/>
  <c r="I18" i="193" s="1"/>
  <c r="E18" i="193"/>
  <c r="B18" i="193"/>
  <c r="A18" i="193"/>
  <c r="J17" i="193"/>
  <c r="H17" i="193"/>
  <c r="I17" i="193" s="1"/>
  <c r="E17" i="193"/>
  <c r="B17" i="193"/>
  <c r="A17" i="193"/>
  <c r="J16" i="193"/>
  <c r="H16" i="193"/>
  <c r="I16" i="193" s="1"/>
  <c r="E16" i="193"/>
  <c r="B16" i="193"/>
  <c r="A16" i="193"/>
  <c r="J15" i="193"/>
  <c r="I15" i="193"/>
  <c r="H15" i="193"/>
  <c r="E15" i="193"/>
  <c r="B15" i="193"/>
  <c r="A15" i="193"/>
  <c r="C15" i="193" s="1"/>
  <c r="J14" i="193"/>
  <c r="H14" i="193"/>
  <c r="I14" i="193" s="1"/>
  <c r="E14" i="193"/>
  <c r="B14" i="193"/>
  <c r="A14" i="193"/>
  <c r="J13" i="193"/>
  <c r="H13" i="193"/>
  <c r="I13" i="193" s="1"/>
  <c r="E13" i="193"/>
  <c r="B13" i="193"/>
  <c r="A13" i="193"/>
  <c r="J12" i="193"/>
  <c r="H12" i="193"/>
  <c r="I12" i="193" s="1"/>
  <c r="E12" i="193"/>
  <c r="B12" i="193"/>
  <c r="A12" i="193"/>
  <c r="J11" i="193"/>
  <c r="H11" i="193"/>
  <c r="I11" i="193" s="1"/>
  <c r="E11" i="193"/>
  <c r="B11" i="193"/>
  <c r="A11" i="193"/>
  <c r="J10" i="193"/>
  <c r="H10" i="193"/>
  <c r="I10" i="193" s="1"/>
  <c r="E10" i="193"/>
  <c r="B10" i="193"/>
  <c r="A10" i="193"/>
  <c r="M5" i="193"/>
  <c r="L5" i="193"/>
  <c r="K5" i="193"/>
  <c r="J5" i="193"/>
  <c r="I5" i="193"/>
  <c r="H5" i="193"/>
  <c r="D1" i="193"/>
  <c r="A1" i="193"/>
  <c r="C38" i="193" s="1"/>
  <c r="J41" i="192"/>
  <c r="H41" i="192"/>
  <c r="I41" i="192" s="1"/>
  <c r="E41" i="192"/>
  <c r="B41" i="192"/>
  <c r="A41" i="192"/>
  <c r="J40" i="192"/>
  <c r="H40" i="192"/>
  <c r="I40" i="192" s="1"/>
  <c r="E40" i="192"/>
  <c r="B40" i="192"/>
  <c r="A40" i="192"/>
  <c r="C40" i="192" s="1"/>
  <c r="J39" i="192"/>
  <c r="H39" i="192"/>
  <c r="I39" i="192" s="1"/>
  <c r="E39" i="192"/>
  <c r="B39" i="192"/>
  <c r="A39" i="192"/>
  <c r="J38" i="192"/>
  <c r="H38" i="192"/>
  <c r="I38" i="192" s="1"/>
  <c r="E38" i="192"/>
  <c r="B38" i="192"/>
  <c r="A38" i="192"/>
  <c r="J37" i="192"/>
  <c r="I37" i="192"/>
  <c r="H37" i="192"/>
  <c r="E37" i="192"/>
  <c r="B37" i="192"/>
  <c r="A37" i="192"/>
  <c r="J36" i="192"/>
  <c r="H36" i="192"/>
  <c r="I36" i="192" s="1"/>
  <c r="E36" i="192"/>
  <c r="B36" i="192"/>
  <c r="A36" i="192"/>
  <c r="J35" i="192"/>
  <c r="H35" i="192"/>
  <c r="I35" i="192" s="1"/>
  <c r="E35" i="192"/>
  <c r="B35" i="192"/>
  <c r="A35" i="192"/>
  <c r="J34" i="192"/>
  <c r="H34" i="192"/>
  <c r="I34" i="192" s="1"/>
  <c r="E34" i="192"/>
  <c r="B34" i="192"/>
  <c r="A34" i="192"/>
  <c r="J33" i="192"/>
  <c r="H33" i="192"/>
  <c r="I33" i="192" s="1"/>
  <c r="E33" i="192"/>
  <c r="B33" i="192"/>
  <c r="A33" i="192"/>
  <c r="J32" i="192"/>
  <c r="H32" i="192"/>
  <c r="I32" i="192" s="1"/>
  <c r="E32" i="192"/>
  <c r="B32" i="192"/>
  <c r="A32" i="192"/>
  <c r="J31" i="192"/>
  <c r="H31" i="192"/>
  <c r="I31" i="192" s="1"/>
  <c r="E31" i="192"/>
  <c r="B31" i="192"/>
  <c r="A31" i="192"/>
  <c r="J30" i="192"/>
  <c r="H30" i="192"/>
  <c r="I30" i="192" s="1"/>
  <c r="E30" i="192"/>
  <c r="B30" i="192"/>
  <c r="A30" i="192"/>
  <c r="J29" i="192"/>
  <c r="I29" i="192"/>
  <c r="H29" i="192"/>
  <c r="E29" i="192"/>
  <c r="B29" i="192"/>
  <c r="A29" i="192"/>
  <c r="J28" i="192"/>
  <c r="H28" i="192"/>
  <c r="I28" i="192" s="1"/>
  <c r="E28" i="192"/>
  <c r="B28" i="192"/>
  <c r="A28" i="192"/>
  <c r="J27" i="192"/>
  <c r="H27" i="192"/>
  <c r="I27" i="192" s="1"/>
  <c r="E27" i="192"/>
  <c r="B27" i="192"/>
  <c r="A27" i="192"/>
  <c r="J26" i="192"/>
  <c r="H26" i="192"/>
  <c r="I26" i="192" s="1"/>
  <c r="E26" i="192"/>
  <c r="B26" i="192"/>
  <c r="A26" i="192"/>
  <c r="J25" i="192"/>
  <c r="H25" i="192"/>
  <c r="I25" i="192" s="1"/>
  <c r="E25" i="192"/>
  <c r="B25" i="192"/>
  <c r="A25" i="192"/>
  <c r="J24" i="192"/>
  <c r="H24" i="192"/>
  <c r="I24" i="192" s="1"/>
  <c r="E24" i="192"/>
  <c r="B24" i="192"/>
  <c r="A24" i="192"/>
  <c r="C24" i="192" s="1"/>
  <c r="J23" i="192"/>
  <c r="H23" i="192"/>
  <c r="I23" i="192" s="1"/>
  <c r="E23" i="192"/>
  <c r="B23" i="192"/>
  <c r="A23" i="192"/>
  <c r="J22" i="192"/>
  <c r="H22" i="192"/>
  <c r="I22" i="192" s="1"/>
  <c r="E22" i="192"/>
  <c r="B22" i="192"/>
  <c r="A22" i="192"/>
  <c r="J21" i="192"/>
  <c r="I21" i="192"/>
  <c r="H21" i="192"/>
  <c r="E21" i="192"/>
  <c r="B21" i="192"/>
  <c r="A21" i="192"/>
  <c r="J20" i="192"/>
  <c r="H20" i="192"/>
  <c r="I20" i="192" s="1"/>
  <c r="E20" i="192"/>
  <c r="B20" i="192"/>
  <c r="A20" i="192"/>
  <c r="J19" i="192"/>
  <c r="H19" i="192"/>
  <c r="I19" i="192" s="1"/>
  <c r="E19" i="192"/>
  <c r="B19" i="192"/>
  <c r="A19" i="192"/>
  <c r="J18" i="192"/>
  <c r="H18" i="192"/>
  <c r="I18" i="192" s="1"/>
  <c r="E18" i="192"/>
  <c r="B18" i="192"/>
  <c r="A18" i="192"/>
  <c r="J17" i="192"/>
  <c r="H17" i="192"/>
  <c r="I17" i="192" s="1"/>
  <c r="E17" i="192"/>
  <c r="B17" i="192"/>
  <c r="A17" i="192"/>
  <c r="J16" i="192"/>
  <c r="H16" i="192"/>
  <c r="I16" i="192" s="1"/>
  <c r="E16" i="192"/>
  <c r="B16" i="192"/>
  <c r="A16" i="192"/>
  <c r="J15" i="192"/>
  <c r="H15" i="192"/>
  <c r="I15" i="192" s="1"/>
  <c r="E15" i="192"/>
  <c r="B15" i="192"/>
  <c r="A15" i="192"/>
  <c r="J14" i="192"/>
  <c r="H14" i="192"/>
  <c r="I14" i="192" s="1"/>
  <c r="E14" i="192"/>
  <c r="B14" i="192"/>
  <c r="A14" i="192"/>
  <c r="J13" i="192"/>
  <c r="I13" i="192"/>
  <c r="H13" i="192"/>
  <c r="E13" i="192"/>
  <c r="B13" i="192"/>
  <c r="A13" i="192"/>
  <c r="J12" i="192"/>
  <c r="H12" i="192"/>
  <c r="I12" i="192" s="1"/>
  <c r="E12" i="192"/>
  <c r="B12" i="192"/>
  <c r="A12" i="192"/>
  <c r="J11" i="192"/>
  <c r="H11" i="192"/>
  <c r="I11" i="192" s="1"/>
  <c r="E11" i="192"/>
  <c r="B11" i="192"/>
  <c r="A11" i="192"/>
  <c r="J10" i="192"/>
  <c r="H10" i="192"/>
  <c r="I10" i="192" s="1"/>
  <c r="E10" i="192"/>
  <c r="B10" i="192"/>
  <c r="A10" i="192"/>
  <c r="M5" i="192"/>
  <c r="L5" i="192"/>
  <c r="K5" i="192"/>
  <c r="J5" i="192"/>
  <c r="I5" i="192"/>
  <c r="H5" i="192"/>
  <c r="D1" i="192"/>
  <c r="A1" i="192"/>
  <c r="C38" i="192" s="1"/>
  <c r="J41" i="191"/>
  <c r="H41" i="191"/>
  <c r="I41" i="191" s="1"/>
  <c r="E41" i="191"/>
  <c r="B41" i="191"/>
  <c r="A41" i="191"/>
  <c r="J40" i="191"/>
  <c r="H40" i="191"/>
  <c r="I40" i="191" s="1"/>
  <c r="E40" i="191"/>
  <c r="B40" i="191"/>
  <c r="A40" i="191"/>
  <c r="C40" i="191" s="1"/>
  <c r="J39" i="191"/>
  <c r="H39" i="191"/>
  <c r="I39" i="191" s="1"/>
  <c r="E39" i="191"/>
  <c r="B39" i="191"/>
  <c r="A39" i="191"/>
  <c r="J38" i="191"/>
  <c r="H38" i="191"/>
  <c r="I38" i="191" s="1"/>
  <c r="E38" i="191"/>
  <c r="B38" i="191"/>
  <c r="A38" i="191"/>
  <c r="J37" i="191"/>
  <c r="I37" i="191"/>
  <c r="H37" i="191"/>
  <c r="E37" i="191"/>
  <c r="B37" i="191"/>
  <c r="A37" i="191"/>
  <c r="J36" i="191"/>
  <c r="H36" i="191"/>
  <c r="I36" i="191" s="1"/>
  <c r="E36" i="191"/>
  <c r="B36" i="191"/>
  <c r="A36" i="191"/>
  <c r="J35" i="191"/>
  <c r="H35" i="191"/>
  <c r="I35" i="191" s="1"/>
  <c r="E35" i="191"/>
  <c r="B35" i="191"/>
  <c r="A35" i="191"/>
  <c r="J34" i="191"/>
  <c r="H34" i="191"/>
  <c r="I34" i="191" s="1"/>
  <c r="E34" i="191"/>
  <c r="B34" i="191"/>
  <c r="A34" i="191"/>
  <c r="J33" i="191"/>
  <c r="H33" i="191"/>
  <c r="I33" i="191" s="1"/>
  <c r="E33" i="191"/>
  <c r="B33" i="191"/>
  <c r="A33" i="191"/>
  <c r="J32" i="191"/>
  <c r="H32" i="191"/>
  <c r="I32" i="191" s="1"/>
  <c r="E32" i="191"/>
  <c r="B32" i="191"/>
  <c r="A32" i="191"/>
  <c r="J31" i="191"/>
  <c r="H31" i="191"/>
  <c r="I31" i="191" s="1"/>
  <c r="E31" i="191"/>
  <c r="B31" i="191"/>
  <c r="A31" i="191"/>
  <c r="J30" i="191"/>
  <c r="H30" i="191"/>
  <c r="I30" i="191" s="1"/>
  <c r="E30" i="191"/>
  <c r="B30" i="191"/>
  <c r="A30" i="191"/>
  <c r="J29" i="191"/>
  <c r="I29" i="191"/>
  <c r="H29" i="191"/>
  <c r="E29" i="191"/>
  <c r="B29" i="191"/>
  <c r="A29" i="191"/>
  <c r="J28" i="191"/>
  <c r="H28" i="191"/>
  <c r="I28" i="191" s="1"/>
  <c r="E28" i="191"/>
  <c r="B28" i="191"/>
  <c r="A28" i="191"/>
  <c r="J27" i="191"/>
  <c r="H27" i="191"/>
  <c r="I27" i="191" s="1"/>
  <c r="E27" i="191"/>
  <c r="B27" i="191"/>
  <c r="A27" i="191"/>
  <c r="J26" i="191"/>
  <c r="H26" i="191"/>
  <c r="I26" i="191" s="1"/>
  <c r="E26" i="191"/>
  <c r="B26" i="191"/>
  <c r="A26" i="191"/>
  <c r="J25" i="191"/>
  <c r="H25" i="191"/>
  <c r="I25" i="191" s="1"/>
  <c r="E25" i="191"/>
  <c r="B25" i="191"/>
  <c r="A25" i="191"/>
  <c r="J24" i="191"/>
  <c r="H24" i="191"/>
  <c r="I24" i="191" s="1"/>
  <c r="E24" i="191"/>
  <c r="B24" i="191"/>
  <c r="A24" i="191"/>
  <c r="C24" i="191" s="1"/>
  <c r="J23" i="191"/>
  <c r="H23" i="191"/>
  <c r="I23" i="191" s="1"/>
  <c r="E23" i="191"/>
  <c r="B23" i="191"/>
  <c r="A23" i="191"/>
  <c r="J22" i="191"/>
  <c r="H22" i="191"/>
  <c r="I22" i="191" s="1"/>
  <c r="E22" i="191"/>
  <c r="B22" i="191"/>
  <c r="A22" i="191"/>
  <c r="J21" i="191"/>
  <c r="I21" i="191"/>
  <c r="H21" i="191"/>
  <c r="E21" i="191"/>
  <c r="B21" i="191"/>
  <c r="A21" i="191"/>
  <c r="J20" i="191"/>
  <c r="H20" i="191"/>
  <c r="I20" i="191" s="1"/>
  <c r="E20" i="191"/>
  <c r="B20" i="191"/>
  <c r="A20" i="191"/>
  <c r="J19" i="191"/>
  <c r="H19" i="191"/>
  <c r="I19" i="191" s="1"/>
  <c r="E19" i="191"/>
  <c r="B19" i="191"/>
  <c r="A19" i="191"/>
  <c r="J18" i="191"/>
  <c r="H18" i="191"/>
  <c r="I18" i="191" s="1"/>
  <c r="E18" i="191"/>
  <c r="B18" i="191"/>
  <c r="A18" i="191"/>
  <c r="J17" i="191"/>
  <c r="H17" i="191"/>
  <c r="I17" i="191" s="1"/>
  <c r="E17" i="191"/>
  <c r="B17" i="191"/>
  <c r="A17" i="191"/>
  <c r="J16" i="191"/>
  <c r="H16" i="191"/>
  <c r="I16" i="191" s="1"/>
  <c r="E16" i="191"/>
  <c r="B16" i="191"/>
  <c r="A16" i="191"/>
  <c r="J15" i="191"/>
  <c r="H15" i="191"/>
  <c r="I15" i="191" s="1"/>
  <c r="E15" i="191"/>
  <c r="B15" i="191"/>
  <c r="A15" i="191"/>
  <c r="J14" i="191"/>
  <c r="H14" i="191"/>
  <c r="I14" i="191" s="1"/>
  <c r="E14" i="191"/>
  <c r="B14" i="191"/>
  <c r="A14" i="191"/>
  <c r="J13" i="191"/>
  <c r="I13" i="191"/>
  <c r="H13" i="191"/>
  <c r="E13" i="191"/>
  <c r="B13" i="191"/>
  <c r="A13" i="191"/>
  <c r="J12" i="191"/>
  <c r="H12" i="191"/>
  <c r="I12" i="191" s="1"/>
  <c r="E12" i="191"/>
  <c r="B12" i="191"/>
  <c r="A12" i="191"/>
  <c r="J11" i="191"/>
  <c r="H11" i="191"/>
  <c r="I11" i="191" s="1"/>
  <c r="E11" i="191"/>
  <c r="B11" i="191"/>
  <c r="A11" i="191"/>
  <c r="J10" i="191"/>
  <c r="H10" i="191"/>
  <c r="I10" i="191" s="1"/>
  <c r="E10" i="191"/>
  <c r="B10" i="191"/>
  <c r="A10" i="191"/>
  <c r="M5" i="191"/>
  <c r="L5" i="191"/>
  <c r="K5" i="191"/>
  <c r="J5" i="191"/>
  <c r="I5" i="191"/>
  <c r="H5" i="191"/>
  <c r="D1" i="191"/>
  <c r="A1" i="191"/>
  <c r="J41" i="171"/>
  <c r="H41" i="171"/>
  <c r="I41" i="171" s="1"/>
  <c r="E41" i="171"/>
  <c r="B41" i="171"/>
  <c r="A41" i="171"/>
  <c r="J40" i="171"/>
  <c r="H40" i="171"/>
  <c r="I40" i="171" s="1"/>
  <c r="E40" i="171"/>
  <c r="B40" i="171"/>
  <c r="A40" i="171"/>
  <c r="J39" i="171"/>
  <c r="H39" i="171"/>
  <c r="I39" i="171" s="1"/>
  <c r="E39" i="171"/>
  <c r="B39" i="171"/>
  <c r="A39" i="171"/>
  <c r="J38" i="171"/>
  <c r="H38" i="171"/>
  <c r="I38" i="171" s="1"/>
  <c r="E38" i="171"/>
  <c r="B38" i="171"/>
  <c r="A38" i="171"/>
  <c r="J37" i="171"/>
  <c r="I37" i="171"/>
  <c r="H37" i="171"/>
  <c r="E37" i="171"/>
  <c r="B37" i="171"/>
  <c r="A37" i="171"/>
  <c r="J36" i="171"/>
  <c r="H36" i="171"/>
  <c r="I36" i="171" s="1"/>
  <c r="E36" i="171"/>
  <c r="B36" i="171"/>
  <c r="A36" i="171"/>
  <c r="J35" i="171"/>
  <c r="H35" i="171"/>
  <c r="I35" i="171" s="1"/>
  <c r="E35" i="171"/>
  <c r="B35" i="171"/>
  <c r="A35" i="171"/>
  <c r="J34" i="171"/>
  <c r="I34" i="171"/>
  <c r="H34" i="171"/>
  <c r="E34" i="171"/>
  <c r="B34" i="171"/>
  <c r="A34" i="171"/>
  <c r="J33" i="171"/>
  <c r="H33" i="171"/>
  <c r="I33" i="171" s="1"/>
  <c r="E33" i="171"/>
  <c r="B33" i="171"/>
  <c r="A33" i="171"/>
  <c r="J32" i="171"/>
  <c r="H32" i="171"/>
  <c r="I32" i="171" s="1"/>
  <c r="E32" i="171"/>
  <c r="B32" i="171"/>
  <c r="A32" i="171"/>
  <c r="J31" i="171"/>
  <c r="H31" i="171"/>
  <c r="I31" i="171" s="1"/>
  <c r="E31" i="171"/>
  <c r="B31" i="171"/>
  <c r="A31" i="171"/>
  <c r="J30" i="171"/>
  <c r="H30" i="171"/>
  <c r="I30" i="171" s="1"/>
  <c r="E30" i="171"/>
  <c r="B30" i="171"/>
  <c r="A30" i="171"/>
  <c r="J29" i="171"/>
  <c r="I29" i="171"/>
  <c r="H29" i="171"/>
  <c r="E29" i="171"/>
  <c r="B29" i="171"/>
  <c r="A29" i="171"/>
  <c r="J28" i="171"/>
  <c r="H28" i="171"/>
  <c r="I28" i="171" s="1"/>
  <c r="E28" i="171"/>
  <c r="B28" i="171"/>
  <c r="A28" i="171"/>
  <c r="J27" i="171"/>
  <c r="H27" i="171"/>
  <c r="I27" i="171" s="1"/>
  <c r="E27" i="171"/>
  <c r="B27" i="171"/>
  <c r="A27" i="171"/>
  <c r="J26" i="171"/>
  <c r="I26" i="171"/>
  <c r="H26" i="171"/>
  <c r="E26" i="171"/>
  <c r="B26" i="171"/>
  <c r="A26" i="171"/>
  <c r="J25" i="171"/>
  <c r="H25" i="171"/>
  <c r="I25" i="171" s="1"/>
  <c r="E25" i="171"/>
  <c r="B25" i="171"/>
  <c r="A25" i="171"/>
  <c r="J24" i="171"/>
  <c r="H24" i="171"/>
  <c r="I24" i="171" s="1"/>
  <c r="E24" i="171"/>
  <c r="B24" i="171"/>
  <c r="A24" i="171"/>
  <c r="J23" i="171"/>
  <c r="I23" i="171"/>
  <c r="H23" i="171"/>
  <c r="E23" i="171"/>
  <c r="B23" i="171"/>
  <c r="A23" i="171"/>
  <c r="J22" i="171"/>
  <c r="H22" i="171"/>
  <c r="I22" i="171" s="1"/>
  <c r="E22" i="171"/>
  <c r="B22" i="171"/>
  <c r="A22" i="171"/>
  <c r="J21" i="171"/>
  <c r="H21" i="171"/>
  <c r="I21" i="171" s="1"/>
  <c r="E21" i="171"/>
  <c r="B21" i="171"/>
  <c r="A21" i="171"/>
  <c r="J20" i="171"/>
  <c r="H20" i="171"/>
  <c r="I20" i="171" s="1"/>
  <c r="E20" i="171"/>
  <c r="B20" i="171"/>
  <c r="A20" i="171"/>
  <c r="J19" i="171"/>
  <c r="H19" i="171"/>
  <c r="I19" i="171" s="1"/>
  <c r="E19" i="171"/>
  <c r="B19" i="171"/>
  <c r="A19" i="171"/>
  <c r="J18" i="171"/>
  <c r="H18" i="171"/>
  <c r="I18" i="171" s="1"/>
  <c r="E18" i="171"/>
  <c r="B18" i="171"/>
  <c r="A18" i="171"/>
  <c r="J17" i="171"/>
  <c r="H17" i="171"/>
  <c r="I17" i="171" s="1"/>
  <c r="E17" i="171"/>
  <c r="B17" i="171"/>
  <c r="A17" i="171"/>
  <c r="J16" i="171"/>
  <c r="H16" i="171"/>
  <c r="I16" i="171" s="1"/>
  <c r="E16" i="171"/>
  <c r="B16" i="171"/>
  <c r="A16" i="171"/>
  <c r="J15" i="171"/>
  <c r="I15" i="171"/>
  <c r="H15" i="171"/>
  <c r="E15" i="171"/>
  <c r="B15" i="171"/>
  <c r="A15" i="171"/>
  <c r="J14" i="171"/>
  <c r="H14" i="171"/>
  <c r="I14" i="171" s="1"/>
  <c r="E14" i="171"/>
  <c r="B14" i="171"/>
  <c r="A14" i="171"/>
  <c r="J13" i="171"/>
  <c r="H13" i="171"/>
  <c r="I13" i="171" s="1"/>
  <c r="E13" i="171"/>
  <c r="B13" i="171"/>
  <c r="A13" i="171"/>
  <c r="J12" i="171"/>
  <c r="H12" i="171"/>
  <c r="I12" i="171" s="1"/>
  <c r="E12" i="171"/>
  <c r="B12" i="171"/>
  <c r="A12" i="171"/>
  <c r="J11" i="171"/>
  <c r="H11" i="171"/>
  <c r="I11" i="171" s="1"/>
  <c r="E11" i="171"/>
  <c r="B11" i="171"/>
  <c r="A11" i="171"/>
  <c r="J10" i="171"/>
  <c r="H10" i="171"/>
  <c r="I10" i="171" s="1"/>
  <c r="E10" i="171"/>
  <c r="B10" i="171"/>
  <c r="A10" i="171"/>
  <c r="M5" i="171"/>
  <c r="L5" i="171"/>
  <c r="K5" i="171"/>
  <c r="J5" i="171"/>
  <c r="I5" i="171"/>
  <c r="H5" i="171"/>
  <c r="D1" i="171"/>
  <c r="A1" i="171"/>
  <c r="J41" i="169"/>
  <c r="H41" i="169"/>
  <c r="I41" i="169" s="1"/>
  <c r="E41" i="169"/>
  <c r="B41" i="169"/>
  <c r="A41" i="169"/>
  <c r="C41" i="169" s="1"/>
  <c r="J40" i="169"/>
  <c r="H40" i="169"/>
  <c r="I40" i="169" s="1"/>
  <c r="E40" i="169"/>
  <c r="B40" i="169"/>
  <c r="A40" i="169"/>
  <c r="J39" i="169"/>
  <c r="H39" i="169"/>
  <c r="I39" i="169" s="1"/>
  <c r="E39" i="169"/>
  <c r="B39" i="169"/>
  <c r="A39" i="169"/>
  <c r="J38" i="169"/>
  <c r="H38" i="169"/>
  <c r="I38" i="169" s="1"/>
  <c r="E38" i="169"/>
  <c r="B38" i="169"/>
  <c r="A38" i="169"/>
  <c r="J37" i="169"/>
  <c r="H37" i="169"/>
  <c r="I37" i="169" s="1"/>
  <c r="E37" i="169"/>
  <c r="B37" i="169"/>
  <c r="A37" i="169"/>
  <c r="J36" i="169"/>
  <c r="H36" i="169"/>
  <c r="I36" i="169" s="1"/>
  <c r="E36" i="169"/>
  <c r="B36" i="169"/>
  <c r="A36" i="169"/>
  <c r="J35" i="169"/>
  <c r="H35" i="169"/>
  <c r="I35" i="169" s="1"/>
  <c r="E35" i="169"/>
  <c r="B35" i="169"/>
  <c r="A35" i="169"/>
  <c r="J34" i="169"/>
  <c r="H34" i="169"/>
  <c r="I34" i="169" s="1"/>
  <c r="E34" i="169"/>
  <c r="B34" i="169"/>
  <c r="A34" i="169"/>
  <c r="J33" i="169"/>
  <c r="H33" i="169"/>
  <c r="I33" i="169" s="1"/>
  <c r="E33" i="169"/>
  <c r="B33" i="169"/>
  <c r="A33" i="169"/>
  <c r="J32" i="169"/>
  <c r="H32" i="169"/>
  <c r="I32" i="169" s="1"/>
  <c r="E32" i="169"/>
  <c r="B32" i="169"/>
  <c r="A32" i="169"/>
  <c r="J31" i="169"/>
  <c r="H31" i="169"/>
  <c r="I31" i="169" s="1"/>
  <c r="E31" i="169"/>
  <c r="B31" i="169"/>
  <c r="A31" i="169"/>
  <c r="J30" i="169"/>
  <c r="H30" i="169"/>
  <c r="I30" i="169" s="1"/>
  <c r="E30" i="169"/>
  <c r="B30" i="169"/>
  <c r="A30" i="169"/>
  <c r="J29" i="169"/>
  <c r="H29" i="169"/>
  <c r="I29" i="169" s="1"/>
  <c r="E29" i="169"/>
  <c r="B29" i="169"/>
  <c r="A29" i="169"/>
  <c r="J28" i="169"/>
  <c r="H28" i="169"/>
  <c r="I28" i="169" s="1"/>
  <c r="E28" i="169"/>
  <c r="B28" i="169"/>
  <c r="A28" i="169"/>
  <c r="J27" i="169"/>
  <c r="H27" i="169"/>
  <c r="I27" i="169" s="1"/>
  <c r="E27" i="169"/>
  <c r="B27" i="169"/>
  <c r="A27" i="169"/>
  <c r="J26" i="169"/>
  <c r="H26" i="169"/>
  <c r="I26" i="169" s="1"/>
  <c r="E26" i="169"/>
  <c r="B26" i="169"/>
  <c r="A26" i="169"/>
  <c r="J25" i="169"/>
  <c r="H25" i="169"/>
  <c r="I25" i="169" s="1"/>
  <c r="E25" i="169"/>
  <c r="B25" i="169"/>
  <c r="A25" i="169"/>
  <c r="J24" i="169"/>
  <c r="H24" i="169"/>
  <c r="I24" i="169" s="1"/>
  <c r="E24" i="169"/>
  <c r="B24" i="169"/>
  <c r="A24" i="169"/>
  <c r="J23" i="169"/>
  <c r="H23" i="169"/>
  <c r="I23" i="169" s="1"/>
  <c r="E23" i="169"/>
  <c r="B23" i="169"/>
  <c r="A23" i="169"/>
  <c r="J22" i="169"/>
  <c r="H22" i="169"/>
  <c r="I22" i="169" s="1"/>
  <c r="E22" i="169"/>
  <c r="B22" i="169"/>
  <c r="A22" i="169"/>
  <c r="J21" i="169"/>
  <c r="H21" i="169"/>
  <c r="I21" i="169" s="1"/>
  <c r="E21" i="169"/>
  <c r="B21" i="169"/>
  <c r="A21" i="169"/>
  <c r="J20" i="169"/>
  <c r="H20" i="169"/>
  <c r="I20" i="169" s="1"/>
  <c r="E20" i="169"/>
  <c r="B20" i="169"/>
  <c r="A20" i="169"/>
  <c r="J19" i="169"/>
  <c r="H19" i="169"/>
  <c r="I19" i="169" s="1"/>
  <c r="E19" i="169"/>
  <c r="B19" i="169"/>
  <c r="A19" i="169"/>
  <c r="J18" i="169"/>
  <c r="H18" i="169"/>
  <c r="I18" i="169" s="1"/>
  <c r="E18" i="169"/>
  <c r="B18" i="169"/>
  <c r="A18" i="169"/>
  <c r="J17" i="169"/>
  <c r="H17" i="169"/>
  <c r="I17" i="169" s="1"/>
  <c r="E17" i="169"/>
  <c r="B17" i="169"/>
  <c r="A17" i="169"/>
  <c r="J16" i="169"/>
  <c r="H16" i="169"/>
  <c r="I16" i="169" s="1"/>
  <c r="E16" i="169"/>
  <c r="B16" i="169"/>
  <c r="A16" i="169"/>
  <c r="J15" i="169"/>
  <c r="H15" i="169"/>
  <c r="I15" i="169" s="1"/>
  <c r="E15" i="169"/>
  <c r="B15" i="169"/>
  <c r="A15" i="169"/>
  <c r="J14" i="169"/>
  <c r="H14" i="169"/>
  <c r="I14" i="169" s="1"/>
  <c r="E14" i="169"/>
  <c r="B14" i="169"/>
  <c r="A14" i="169"/>
  <c r="J13" i="169"/>
  <c r="H13" i="169"/>
  <c r="I13" i="169" s="1"/>
  <c r="E13" i="169"/>
  <c r="B13" i="169"/>
  <c r="A13" i="169"/>
  <c r="J12" i="169"/>
  <c r="H12" i="169"/>
  <c r="I12" i="169" s="1"/>
  <c r="E12" i="169"/>
  <c r="B12" i="169"/>
  <c r="A12" i="169"/>
  <c r="J11" i="169"/>
  <c r="H11" i="169"/>
  <c r="I11" i="169" s="1"/>
  <c r="E11" i="169"/>
  <c r="B11" i="169"/>
  <c r="A11" i="169"/>
  <c r="J10" i="169"/>
  <c r="H10" i="169"/>
  <c r="I10" i="169" s="1"/>
  <c r="E10" i="169"/>
  <c r="B10" i="169"/>
  <c r="A10" i="169"/>
  <c r="M5" i="169"/>
  <c r="L5" i="169"/>
  <c r="K5" i="169"/>
  <c r="J5" i="169"/>
  <c r="I5" i="169"/>
  <c r="H5" i="169"/>
  <c r="D1" i="169"/>
  <c r="A1" i="169"/>
  <c r="J41" i="168"/>
  <c r="H41" i="168"/>
  <c r="I41" i="168" s="1"/>
  <c r="E41" i="168"/>
  <c r="B41" i="168"/>
  <c r="A41" i="168"/>
  <c r="J40" i="168"/>
  <c r="H40" i="168"/>
  <c r="I40" i="168" s="1"/>
  <c r="E40" i="168"/>
  <c r="B40" i="168"/>
  <c r="A40" i="168"/>
  <c r="J39" i="168"/>
  <c r="H39" i="168"/>
  <c r="I39" i="168" s="1"/>
  <c r="E39" i="168"/>
  <c r="B39" i="168"/>
  <c r="A39" i="168"/>
  <c r="J38" i="168"/>
  <c r="H38" i="168"/>
  <c r="I38" i="168" s="1"/>
  <c r="E38" i="168"/>
  <c r="B38" i="168"/>
  <c r="A38" i="168"/>
  <c r="J37" i="168"/>
  <c r="H37" i="168"/>
  <c r="I37" i="168" s="1"/>
  <c r="E37" i="168"/>
  <c r="B37" i="168"/>
  <c r="A37" i="168"/>
  <c r="J36" i="168"/>
  <c r="H36" i="168"/>
  <c r="I36" i="168" s="1"/>
  <c r="E36" i="168"/>
  <c r="B36" i="168"/>
  <c r="A36" i="168"/>
  <c r="J35" i="168"/>
  <c r="H35" i="168"/>
  <c r="I35" i="168" s="1"/>
  <c r="E35" i="168"/>
  <c r="B35" i="168"/>
  <c r="A35" i="168"/>
  <c r="J34" i="168"/>
  <c r="H34" i="168"/>
  <c r="I34" i="168" s="1"/>
  <c r="E34" i="168"/>
  <c r="B34" i="168"/>
  <c r="A34" i="168"/>
  <c r="J33" i="168"/>
  <c r="H33" i="168"/>
  <c r="I33" i="168" s="1"/>
  <c r="E33" i="168"/>
  <c r="B33" i="168"/>
  <c r="A33" i="168"/>
  <c r="J32" i="168"/>
  <c r="H32" i="168"/>
  <c r="I32" i="168" s="1"/>
  <c r="E32" i="168"/>
  <c r="B32" i="168"/>
  <c r="A32" i="168"/>
  <c r="J31" i="168"/>
  <c r="H31" i="168"/>
  <c r="I31" i="168" s="1"/>
  <c r="E31" i="168"/>
  <c r="B31" i="168"/>
  <c r="A31" i="168"/>
  <c r="J30" i="168"/>
  <c r="H30" i="168"/>
  <c r="I30" i="168" s="1"/>
  <c r="E30" i="168"/>
  <c r="B30" i="168"/>
  <c r="A30" i="168"/>
  <c r="J29" i="168"/>
  <c r="H29" i="168"/>
  <c r="I29" i="168" s="1"/>
  <c r="E29" i="168"/>
  <c r="B29" i="168"/>
  <c r="A29" i="168"/>
  <c r="J28" i="168"/>
  <c r="H28" i="168"/>
  <c r="I28" i="168" s="1"/>
  <c r="E28" i="168"/>
  <c r="B28" i="168"/>
  <c r="A28" i="168"/>
  <c r="J27" i="168"/>
  <c r="H27" i="168"/>
  <c r="I27" i="168" s="1"/>
  <c r="E27" i="168"/>
  <c r="B27" i="168"/>
  <c r="A27" i="168"/>
  <c r="J26" i="168"/>
  <c r="H26" i="168"/>
  <c r="I26" i="168" s="1"/>
  <c r="E26" i="168"/>
  <c r="B26" i="168"/>
  <c r="A26" i="168"/>
  <c r="J25" i="168"/>
  <c r="H25" i="168"/>
  <c r="I25" i="168" s="1"/>
  <c r="E25" i="168"/>
  <c r="B25" i="168"/>
  <c r="A25" i="168"/>
  <c r="J24" i="168"/>
  <c r="H24" i="168"/>
  <c r="I24" i="168" s="1"/>
  <c r="E24" i="168"/>
  <c r="B24" i="168"/>
  <c r="A24" i="168"/>
  <c r="J23" i="168"/>
  <c r="H23" i="168"/>
  <c r="I23" i="168" s="1"/>
  <c r="E23" i="168"/>
  <c r="B23" i="168"/>
  <c r="A23" i="168"/>
  <c r="J22" i="168"/>
  <c r="H22" i="168"/>
  <c r="I22" i="168" s="1"/>
  <c r="E22" i="168"/>
  <c r="B22" i="168"/>
  <c r="A22" i="168"/>
  <c r="J21" i="168"/>
  <c r="H21" i="168"/>
  <c r="I21" i="168" s="1"/>
  <c r="E21" i="168"/>
  <c r="B21" i="168"/>
  <c r="A21" i="168"/>
  <c r="J20" i="168"/>
  <c r="H20" i="168"/>
  <c r="I20" i="168" s="1"/>
  <c r="E20" i="168"/>
  <c r="B20" i="168"/>
  <c r="A20" i="168"/>
  <c r="J19" i="168"/>
  <c r="H19" i="168"/>
  <c r="I19" i="168" s="1"/>
  <c r="E19" i="168"/>
  <c r="B19" i="168"/>
  <c r="A19" i="168"/>
  <c r="J18" i="168"/>
  <c r="H18" i="168"/>
  <c r="I18" i="168" s="1"/>
  <c r="E18" i="168"/>
  <c r="B18" i="168"/>
  <c r="A18" i="168"/>
  <c r="J17" i="168"/>
  <c r="H17" i="168"/>
  <c r="I17" i="168" s="1"/>
  <c r="E17" i="168"/>
  <c r="B17" i="168"/>
  <c r="A17" i="168"/>
  <c r="J16" i="168"/>
  <c r="H16" i="168"/>
  <c r="I16" i="168" s="1"/>
  <c r="E16" i="168"/>
  <c r="B16" i="168"/>
  <c r="A16" i="168"/>
  <c r="J15" i="168"/>
  <c r="H15" i="168"/>
  <c r="I15" i="168" s="1"/>
  <c r="E15" i="168"/>
  <c r="B15" i="168"/>
  <c r="A15" i="168"/>
  <c r="J14" i="168"/>
  <c r="H14" i="168"/>
  <c r="I14" i="168" s="1"/>
  <c r="E14" i="168"/>
  <c r="B14" i="168"/>
  <c r="A14" i="168"/>
  <c r="J13" i="168"/>
  <c r="H13" i="168"/>
  <c r="I13" i="168" s="1"/>
  <c r="E13" i="168"/>
  <c r="B13" i="168"/>
  <c r="A13" i="168"/>
  <c r="J12" i="168"/>
  <c r="H12" i="168"/>
  <c r="I12" i="168" s="1"/>
  <c r="E12" i="168"/>
  <c r="B12" i="168"/>
  <c r="A12" i="168"/>
  <c r="J11" i="168"/>
  <c r="H11" i="168"/>
  <c r="I11" i="168" s="1"/>
  <c r="E11" i="168"/>
  <c r="B11" i="168"/>
  <c r="A11" i="168"/>
  <c r="J10" i="168"/>
  <c r="H10" i="168"/>
  <c r="I10" i="168" s="1"/>
  <c r="E10" i="168"/>
  <c r="B10" i="168"/>
  <c r="A10" i="168"/>
  <c r="M5" i="168"/>
  <c r="L5" i="168"/>
  <c r="K5" i="168"/>
  <c r="J5" i="168"/>
  <c r="I5" i="168"/>
  <c r="H5" i="168"/>
  <c r="D1" i="168"/>
  <c r="A1" i="168"/>
  <c r="J41" i="167"/>
  <c r="H41" i="167"/>
  <c r="I41" i="167" s="1"/>
  <c r="E41" i="167"/>
  <c r="B41" i="167"/>
  <c r="A41" i="167"/>
  <c r="J40" i="167"/>
  <c r="H40" i="167"/>
  <c r="I40" i="167" s="1"/>
  <c r="E40" i="167"/>
  <c r="B40" i="167"/>
  <c r="A40" i="167"/>
  <c r="J39" i="167"/>
  <c r="H39" i="167"/>
  <c r="I39" i="167" s="1"/>
  <c r="E39" i="167"/>
  <c r="B39" i="167"/>
  <c r="A39" i="167"/>
  <c r="J38" i="167"/>
  <c r="H38" i="167"/>
  <c r="I38" i="167" s="1"/>
  <c r="E38" i="167"/>
  <c r="B38" i="167"/>
  <c r="A38" i="167"/>
  <c r="J37" i="167"/>
  <c r="I37" i="167"/>
  <c r="H37" i="167"/>
  <c r="E37" i="167"/>
  <c r="B37" i="167"/>
  <c r="A37" i="167"/>
  <c r="J36" i="167"/>
  <c r="H36" i="167"/>
  <c r="I36" i="167" s="1"/>
  <c r="E36" i="167"/>
  <c r="B36" i="167"/>
  <c r="A36" i="167"/>
  <c r="J35" i="167"/>
  <c r="H35" i="167"/>
  <c r="I35" i="167" s="1"/>
  <c r="E35" i="167"/>
  <c r="B35" i="167"/>
  <c r="A35" i="167"/>
  <c r="J34" i="167"/>
  <c r="H34" i="167"/>
  <c r="I34" i="167" s="1"/>
  <c r="E34" i="167"/>
  <c r="B34" i="167"/>
  <c r="A34" i="167"/>
  <c r="J33" i="167"/>
  <c r="H33" i="167"/>
  <c r="I33" i="167" s="1"/>
  <c r="E33" i="167"/>
  <c r="B33" i="167"/>
  <c r="A33" i="167"/>
  <c r="J32" i="167"/>
  <c r="H32" i="167"/>
  <c r="I32" i="167" s="1"/>
  <c r="E32" i="167"/>
  <c r="B32" i="167"/>
  <c r="A32" i="167"/>
  <c r="J31" i="167"/>
  <c r="H31" i="167"/>
  <c r="I31" i="167" s="1"/>
  <c r="E31" i="167"/>
  <c r="B31" i="167"/>
  <c r="A31" i="167"/>
  <c r="J30" i="167"/>
  <c r="H30" i="167"/>
  <c r="I30" i="167" s="1"/>
  <c r="E30" i="167"/>
  <c r="B30" i="167"/>
  <c r="A30" i="167"/>
  <c r="J29" i="167"/>
  <c r="H29" i="167"/>
  <c r="I29" i="167" s="1"/>
  <c r="E29" i="167"/>
  <c r="B29" i="167"/>
  <c r="A29" i="167"/>
  <c r="J28" i="167"/>
  <c r="H28" i="167"/>
  <c r="I28" i="167" s="1"/>
  <c r="E28" i="167"/>
  <c r="B28" i="167"/>
  <c r="A28" i="167"/>
  <c r="J27" i="167"/>
  <c r="H27" i="167"/>
  <c r="I27" i="167" s="1"/>
  <c r="E27" i="167"/>
  <c r="B27" i="167"/>
  <c r="A27" i="167"/>
  <c r="J26" i="167"/>
  <c r="H26" i="167"/>
  <c r="I26" i="167" s="1"/>
  <c r="E26" i="167"/>
  <c r="B26" i="167"/>
  <c r="A26" i="167"/>
  <c r="J25" i="167"/>
  <c r="H25" i="167"/>
  <c r="I25" i="167" s="1"/>
  <c r="E25" i="167"/>
  <c r="B25" i="167"/>
  <c r="A25" i="167"/>
  <c r="J24" i="167"/>
  <c r="H24" i="167"/>
  <c r="I24" i="167" s="1"/>
  <c r="E24" i="167"/>
  <c r="B24" i="167"/>
  <c r="A24" i="167"/>
  <c r="J23" i="167"/>
  <c r="H23" i="167"/>
  <c r="I23" i="167" s="1"/>
  <c r="E23" i="167"/>
  <c r="B23" i="167"/>
  <c r="A23" i="167"/>
  <c r="J22" i="167"/>
  <c r="H22" i="167"/>
  <c r="I22" i="167" s="1"/>
  <c r="E22" i="167"/>
  <c r="B22" i="167"/>
  <c r="A22" i="167"/>
  <c r="J21" i="167"/>
  <c r="H21" i="167"/>
  <c r="I21" i="167" s="1"/>
  <c r="E21" i="167"/>
  <c r="B21" i="167"/>
  <c r="A21" i="167"/>
  <c r="J20" i="167"/>
  <c r="H20" i="167"/>
  <c r="I20" i="167" s="1"/>
  <c r="E20" i="167"/>
  <c r="B20" i="167"/>
  <c r="A20" i="167"/>
  <c r="J19" i="167"/>
  <c r="H19" i="167"/>
  <c r="I19" i="167" s="1"/>
  <c r="E19" i="167"/>
  <c r="B19" i="167"/>
  <c r="A19" i="167"/>
  <c r="J18" i="167"/>
  <c r="H18" i="167"/>
  <c r="I18" i="167" s="1"/>
  <c r="E18" i="167"/>
  <c r="B18" i="167"/>
  <c r="A18" i="167"/>
  <c r="J17" i="167"/>
  <c r="H17" i="167"/>
  <c r="I17" i="167" s="1"/>
  <c r="E17" i="167"/>
  <c r="B17" i="167"/>
  <c r="A17" i="167"/>
  <c r="J16" i="167"/>
  <c r="H16" i="167"/>
  <c r="I16" i="167" s="1"/>
  <c r="E16" i="167"/>
  <c r="B16" i="167"/>
  <c r="A16" i="167"/>
  <c r="J15" i="167"/>
  <c r="H15" i="167"/>
  <c r="I15" i="167" s="1"/>
  <c r="E15" i="167"/>
  <c r="B15" i="167"/>
  <c r="A15" i="167"/>
  <c r="J14" i="167"/>
  <c r="H14" i="167"/>
  <c r="I14" i="167" s="1"/>
  <c r="E14" i="167"/>
  <c r="B14" i="167"/>
  <c r="A14" i="167"/>
  <c r="J13" i="167"/>
  <c r="H13" i="167"/>
  <c r="I13" i="167" s="1"/>
  <c r="E13" i="167"/>
  <c r="B13" i="167"/>
  <c r="A13" i="167"/>
  <c r="J12" i="167"/>
  <c r="H12" i="167"/>
  <c r="I12" i="167" s="1"/>
  <c r="E12" i="167"/>
  <c r="B12" i="167"/>
  <c r="A12" i="167"/>
  <c r="J11" i="167"/>
  <c r="H11" i="167"/>
  <c r="I11" i="167" s="1"/>
  <c r="E11" i="167"/>
  <c r="B11" i="167"/>
  <c r="A11" i="167"/>
  <c r="J10" i="167"/>
  <c r="H10" i="167"/>
  <c r="I10" i="167" s="1"/>
  <c r="E10" i="167"/>
  <c r="B10" i="167"/>
  <c r="A10" i="167"/>
  <c r="M5" i="167"/>
  <c r="L5" i="167"/>
  <c r="K5" i="167"/>
  <c r="J5" i="167"/>
  <c r="I5" i="167"/>
  <c r="H5" i="167"/>
  <c r="D1" i="167"/>
  <c r="A1" i="167"/>
  <c r="J41" i="166"/>
  <c r="H41" i="166"/>
  <c r="I41" i="166" s="1"/>
  <c r="E41" i="166"/>
  <c r="B41" i="166"/>
  <c r="A41" i="166"/>
  <c r="C41" i="166" s="1"/>
  <c r="J40" i="166"/>
  <c r="H40" i="166"/>
  <c r="I40" i="166" s="1"/>
  <c r="E40" i="166"/>
  <c r="B40" i="166"/>
  <c r="A40" i="166"/>
  <c r="J39" i="166"/>
  <c r="H39" i="166"/>
  <c r="I39" i="166" s="1"/>
  <c r="E39" i="166"/>
  <c r="B39" i="166"/>
  <c r="A39" i="166"/>
  <c r="J38" i="166"/>
  <c r="H38" i="166"/>
  <c r="I38" i="166" s="1"/>
  <c r="E38" i="166"/>
  <c r="B38" i="166"/>
  <c r="A38" i="166"/>
  <c r="J37" i="166"/>
  <c r="H37" i="166"/>
  <c r="I37" i="166" s="1"/>
  <c r="E37" i="166"/>
  <c r="B37" i="166"/>
  <c r="A37" i="166"/>
  <c r="J36" i="166"/>
  <c r="H36" i="166"/>
  <c r="I36" i="166" s="1"/>
  <c r="E36" i="166"/>
  <c r="B36" i="166"/>
  <c r="A36" i="166"/>
  <c r="J35" i="166"/>
  <c r="H35" i="166"/>
  <c r="I35" i="166" s="1"/>
  <c r="E35" i="166"/>
  <c r="B35" i="166"/>
  <c r="A35" i="166"/>
  <c r="J34" i="166"/>
  <c r="H34" i="166"/>
  <c r="I34" i="166" s="1"/>
  <c r="E34" i="166"/>
  <c r="B34" i="166"/>
  <c r="A34" i="166"/>
  <c r="J33" i="166"/>
  <c r="H33" i="166"/>
  <c r="I33" i="166" s="1"/>
  <c r="E33" i="166"/>
  <c r="B33" i="166"/>
  <c r="A33" i="166"/>
  <c r="J32" i="166"/>
  <c r="I32" i="166"/>
  <c r="H32" i="166"/>
  <c r="E32" i="166"/>
  <c r="B32" i="166"/>
  <c r="A32" i="166"/>
  <c r="C32" i="166" s="1"/>
  <c r="J31" i="166"/>
  <c r="H31" i="166"/>
  <c r="I31" i="166" s="1"/>
  <c r="E31" i="166"/>
  <c r="B31" i="166"/>
  <c r="A31" i="166"/>
  <c r="J30" i="166"/>
  <c r="H30" i="166"/>
  <c r="I30" i="166" s="1"/>
  <c r="E30" i="166"/>
  <c r="B30" i="166"/>
  <c r="A30" i="166"/>
  <c r="J29" i="166"/>
  <c r="H29" i="166"/>
  <c r="I29" i="166" s="1"/>
  <c r="E29" i="166"/>
  <c r="B29" i="166"/>
  <c r="A29" i="166"/>
  <c r="J28" i="166"/>
  <c r="H28" i="166"/>
  <c r="I28" i="166" s="1"/>
  <c r="E28" i="166"/>
  <c r="B28" i="166"/>
  <c r="A28" i="166"/>
  <c r="J27" i="166"/>
  <c r="H27" i="166"/>
  <c r="I27" i="166" s="1"/>
  <c r="E27" i="166"/>
  <c r="B27" i="166"/>
  <c r="A27" i="166"/>
  <c r="J26" i="166"/>
  <c r="H26" i="166"/>
  <c r="I26" i="166" s="1"/>
  <c r="E26" i="166"/>
  <c r="B26" i="166"/>
  <c r="A26" i="166"/>
  <c r="J25" i="166"/>
  <c r="H25" i="166"/>
  <c r="I25" i="166" s="1"/>
  <c r="E25" i="166"/>
  <c r="B25" i="166"/>
  <c r="A25" i="166"/>
  <c r="J24" i="166"/>
  <c r="H24" i="166"/>
  <c r="I24" i="166" s="1"/>
  <c r="E24" i="166"/>
  <c r="B24" i="166"/>
  <c r="A24" i="166"/>
  <c r="J23" i="166"/>
  <c r="H23" i="166"/>
  <c r="I23" i="166" s="1"/>
  <c r="E23" i="166"/>
  <c r="B23" i="166"/>
  <c r="A23" i="166"/>
  <c r="J22" i="166"/>
  <c r="H22" i="166"/>
  <c r="I22" i="166" s="1"/>
  <c r="E22" i="166"/>
  <c r="B22" i="166"/>
  <c r="A22" i="166"/>
  <c r="J21" i="166"/>
  <c r="H21" i="166"/>
  <c r="I21" i="166" s="1"/>
  <c r="E21" i="166"/>
  <c r="B21" i="166"/>
  <c r="A21" i="166"/>
  <c r="J20" i="166"/>
  <c r="H20" i="166"/>
  <c r="I20" i="166" s="1"/>
  <c r="E20" i="166"/>
  <c r="B20" i="166"/>
  <c r="A20" i="166"/>
  <c r="J19" i="166"/>
  <c r="H19" i="166"/>
  <c r="I19" i="166" s="1"/>
  <c r="E19" i="166"/>
  <c r="B19" i="166"/>
  <c r="A19" i="166"/>
  <c r="J18" i="166"/>
  <c r="H18" i="166"/>
  <c r="I18" i="166" s="1"/>
  <c r="E18" i="166"/>
  <c r="B18" i="166"/>
  <c r="A18" i="166"/>
  <c r="J17" i="166"/>
  <c r="H17" i="166"/>
  <c r="I17" i="166" s="1"/>
  <c r="E17" i="166"/>
  <c r="B17" i="166"/>
  <c r="A17" i="166"/>
  <c r="J16" i="166"/>
  <c r="H16" i="166"/>
  <c r="I16" i="166" s="1"/>
  <c r="E16" i="166"/>
  <c r="B16" i="166"/>
  <c r="A16" i="166"/>
  <c r="J15" i="166"/>
  <c r="H15" i="166"/>
  <c r="I15" i="166" s="1"/>
  <c r="E15" i="166"/>
  <c r="B15" i="166"/>
  <c r="A15" i="166"/>
  <c r="J14" i="166"/>
  <c r="H14" i="166"/>
  <c r="I14" i="166" s="1"/>
  <c r="E14" i="166"/>
  <c r="B14" i="166"/>
  <c r="A14" i="166"/>
  <c r="J13" i="166"/>
  <c r="H13" i="166"/>
  <c r="I13" i="166" s="1"/>
  <c r="E13" i="166"/>
  <c r="B13" i="166"/>
  <c r="A13" i="166"/>
  <c r="J12" i="166"/>
  <c r="H12" i="166"/>
  <c r="I12" i="166" s="1"/>
  <c r="E12" i="166"/>
  <c r="B12" i="166"/>
  <c r="A12" i="166"/>
  <c r="J11" i="166"/>
  <c r="H11" i="166"/>
  <c r="I11" i="166" s="1"/>
  <c r="E11" i="166"/>
  <c r="B11" i="166"/>
  <c r="A11" i="166"/>
  <c r="J10" i="166"/>
  <c r="H10" i="166"/>
  <c r="I10" i="166" s="1"/>
  <c r="E10" i="166"/>
  <c r="B10" i="166"/>
  <c r="A10" i="166"/>
  <c r="M5" i="166"/>
  <c r="L5" i="166"/>
  <c r="K5" i="166"/>
  <c r="J5" i="166"/>
  <c r="I5" i="166"/>
  <c r="H5" i="166"/>
  <c r="D1" i="166"/>
  <c r="A1" i="166"/>
  <c r="J41" i="165"/>
  <c r="H41" i="165"/>
  <c r="I41" i="165" s="1"/>
  <c r="E41" i="165"/>
  <c r="B41" i="165"/>
  <c r="A41" i="165"/>
  <c r="C41" i="165" s="1"/>
  <c r="J40" i="165"/>
  <c r="H40" i="165"/>
  <c r="I40" i="165" s="1"/>
  <c r="E40" i="165"/>
  <c r="B40" i="165"/>
  <c r="A40" i="165"/>
  <c r="J39" i="165"/>
  <c r="H39" i="165"/>
  <c r="I39" i="165" s="1"/>
  <c r="E39" i="165"/>
  <c r="B39" i="165"/>
  <c r="A39" i="165"/>
  <c r="J38" i="165"/>
  <c r="H38" i="165"/>
  <c r="I38" i="165" s="1"/>
  <c r="E38" i="165"/>
  <c r="B38" i="165"/>
  <c r="A38" i="165"/>
  <c r="J37" i="165"/>
  <c r="H37" i="165"/>
  <c r="I37" i="165" s="1"/>
  <c r="E37" i="165"/>
  <c r="B37" i="165"/>
  <c r="A37" i="165"/>
  <c r="J36" i="165"/>
  <c r="H36" i="165"/>
  <c r="I36" i="165" s="1"/>
  <c r="E36" i="165"/>
  <c r="B36" i="165"/>
  <c r="A36" i="165"/>
  <c r="J35" i="165"/>
  <c r="H35" i="165"/>
  <c r="I35" i="165" s="1"/>
  <c r="E35" i="165"/>
  <c r="B35" i="165"/>
  <c r="A35" i="165"/>
  <c r="J34" i="165"/>
  <c r="H34" i="165"/>
  <c r="I34" i="165" s="1"/>
  <c r="E34" i="165"/>
  <c r="B34" i="165"/>
  <c r="A34" i="165"/>
  <c r="J33" i="165"/>
  <c r="H33" i="165"/>
  <c r="I33" i="165" s="1"/>
  <c r="E33" i="165"/>
  <c r="B33" i="165"/>
  <c r="A33" i="165"/>
  <c r="J32" i="165"/>
  <c r="H32" i="165"/>
  <c r="I32" i="165" s="1"/>
  <c r="E32" i="165"/>
  <c r="B32" i="165"/>
  <c r="A32" i="165"/>
  <c r="J31" i="165"/>
  <c r="H31" i="165"/>
  <c r="I31" i="165" s="1"/>
  <c r="E31" i="165"/>
  <c r="B31" i="165"/>
  <c r="A31" i="165"/>
  <c r="J30" i="165"/>
  <c r="H30" i="165"/>
  <c r="I30" i="165" s="1"/>
  <c r="E30" i="165"/>
  <c r="B30" i="165"/>
  <c r="A30" i="165"/>
  <c r="J29" i="165"/>
  <c r="H29" i="165"/>
  <c r="I29" i="165" s="1"/>
  <c r="E29" i="165"/>
  <c r="B29" i="165"/>
  <c r="A29" i="165"/>
  <c r="J28" i="165"/>
  <c r="H28" i="165"/>
  <c r="I28" i="165" s="1"/>
  <c r="E28" i="165"/>
  <c r="B28" i="165"/>
  <c r="A28" i="165"/>
  <c r="J27" i="165"/>
  <c r="H27" i="165"/>
  <c r="I27" i="165" s="1"/>
  <c r="E27" i="165"/>
  <c r="B27" i="165"/>
  <c r="A27" i="165"/>
  <c r="J26" i="165"/>
  <c r="H26" i="165"/>
  <c r="I26" i="165" s="1"/>
  <c r="E26" i="165"/>
  <c r="B26" i="165"/>
  <c r="A26" i="165"/>
  <c r="J25" i="165"/>
  <c r="H25" i="165"/>
  <c r="I25" i="165" s="1"/>
  <c r="E25" i="165"/>
  <c r="B25" i="165"/>
  <c r="A25" i="165"/>
  <c r="J24" i="165"/>
  <c r="H24" i="165"/>
  <c r="I24" i="165" s="1"/>
  <c r="E24" i="165"/>
  <c r="B24" i="165"/>
  <c r="A24" i="165"/>
  <c r="J23" i="165"/>
  <c r="H23" i="165"/>
  <c r="I23" i="165" s="1"/>
  <c r="E23" i="165"/>
  <c r="B23" i="165"/>
  <c r="A23" i="165"/>
  <c r="J22" i="165"/>
  <c r="H22" i="165"/>
  <c r="I22" i="165" s="1"/>
  <c r="E22" i="165"/>
  <c r="B22" i="165"/>
  <c r="A22" i="165"/>
  <c r="J21" i="165"/>
  <c r="H21" i="165"/>
  <c r="I21" i="165" s="1"/>
  <c r="E21" i="165"/>
  <c r="B21" i="165"/>
  <c r="A21" i="165"/>
  <c r="J20" i="165"/>
  <c r="H20" i="165"/>
  <c r="I20" i="165" s="1"/>
  <c r="E20" i="165"/>
  <c r="B20" i="165"/>
  <c r="A20" i="165"/>
  <c r="J19" i="165"/>
  <c r="H19" i="165"/>
  <c r="I19" i="165" s="1"/>
  <c r="E19" i="165"/>
  <c r="B19" i="165"/>
  <c r="A19" i="165"/>
  <c r="J18" i="165"/>
  <c r="H18" i="165"/>
  <c r="I18" i="165" s="1"/>
  <c r="E18" i="165"/>
  <c r="B18" i="165"/>
  <c r="A18" i="165"/>
  <c r="J17" i="165"/>
  <c r="H17" i="165"/>
  <c r="I17" i="165" s="1"/>
  <c r="E17" i="165"/>
  <c r="B17" i="165"/>
  <c r="A17" i="165"/>
  <c r="J16" i="165"/>
  <c r="H16" i="165"/>
  <c r="I16" i="165" s="1"/>
  <c r="E16" i="165"/>
  <c r="B16" i="165"/>
  <c r="A16" i="165"/>
  <c r="J15" i="165"/>
  <c r="H15" i="165"/>
  <c r="I15" i="165" s="1"/>
  <c r="E15" i="165"/>
  <c r="B15" i="165"/>
  <c r="A15" i="165"/>
  <c r="J14" i="165"/>
  <c r="H14" i="165"/>
  <c r="I14" i="165" s="1"/>
  <c r="E14" i="165"/>
  <c r="B14" i="165"/>
  <c r="A14" i="165"/>
  <c r="J13" i="165"/>
  <c r="H13" i="165"/>
  <c r="I13" i="165" s="1"/>
  <c r="E13" i="165"/>
  <c r="B13" i="165"/>
  <c r="A13" i="165"/>
  <c r="J12" i="165"/>
  <c r="H12" i="165"/>
  <c r="I12" i="165" s="1"/>
  <c r="E12" i="165"/>
  <c r="B12" i="165"/>
  <c r="A12" i="165"/>
  <c r="J11" i="165"/>
  <c r="H11" i="165"/>
  <c r="I11" i="165" s="1"/>
  <c r="E11" i="165"/>
  <c r="B11" i="165"/>
  <c r="A11" i="165"/>
  <c r="J10" i="165"/>
  <c r="H10" i="165"/>
  <c r="I10" i="165" s="1"/>
  <c r="E10" i="165"/>
  <c r="B10" i="165"/>
  <c r="A10" i="165"/>
  <c r="M5" i="165"/>
  <c r="L5" i="165"/>
  <c r="K5" i="165"/>
  <c r="J5" i="165"/>
  <c r="I5" i="165"/>
  <c r="H5" i="165"/>
  <c r="D1" i="165"/>
  <c r="A1" i="165"/>
  <c r="J41" i="164"/>
  <c r="H41" i="164"/>
  <c r="I41" i="164" s="1"/>
  <c r="E41" i="164"/>
  <c r="B41" i="164"/>
  <c r="A41" i="164"/>
  <c r="J40" i="164"/>
  <c r="H40" i="164"/>
  <c r="I40" i="164" s="1"/>
  <c r="E40" i="164"/>
  <c r="B40" i="164"/>
  <c r="A40" i="164"/>
  <c r="J39" i="164"/>
  <c r="H39" i="164"/>
  <c r="I39" i="164" s="1"/>
  <c r="E39" i="164"/>
  <c r="B39" i="164"/>
  <c r="A39" i="164"/>
  <c r="J38" i="164"/>
  <c r="H38" i="164"/>
  <c r="I38" i="164" s="1"/>
  <c r="E38" i="164"/>
  <c r="B38" i="164"/>
  <c r="A38" i="164"/>
  <c r="J37" i="164"/>
  <c r="H37" i="164"/>
  <c r="I37" i="164" s="1"/>
  <c r="E37" i="164"/>
  <c r="B37" i="164"/>
  <c r="A37" i="164"/>
  <c r="J36" i="164"/>
  <c r="H36" i="164"/>
  <c r="I36" i="164" s="1"/>
  <c r="E36" i="164"/>
  <c r="B36" i="164"/>
  <c r="A36" i="164"/>
  <c r="J35" i="164"/>
  <c r="H35" i="164"/>
  <c r="I35" i="164" s="1"/>
  <c r="E35" i="164"/>
  <c r="B35" i="164"/>
  <c r="A35" i="164"/>
  <c r="J34" i="164"/>
  <c r="H34" i="164"/>
  <c r="I34" i="164" s="1"/>
  <c r="E34" i="164"/>
  <c r="B34" i="164"/>
  <c r="A34" i="164"/>
  <c r="J33" i="164"/>
  <c r="H33" i="164"/>
  <c r="I33" i="164" s="1"/>
  <c r="E33" i="164"/>
  <c r="B33" i="164"/>
  <c r="A33" i="164"/>
  <c r="J32" i="164"/>
  <c r="H32" i="164"/>
  <c r="I32" i="164" s="1"/>
  <c r="E32" i="164"/>
  <c r="B32" i="164"/>
  <c r="A32" i="164"/>
  <c r="J31" i="164"/>
  <c r="H31" i="164"/>
  <c r="I31" i="164" s="1"/>
  <c r="E31" i="164"/>
  <c r="B31" i="164"/>
  <c r="A31" i="164"/>
  <c r="J30" i="164"/>
  <c r="H30" i="164"/>
  <c r="I30" i="164" s="1"/>
  <c r="E30" i="164"/>
  <c r="B30" i="164"/>
  <c r="A30" i="164"/>
  <c r="J29" i="164"/>
  <c r="H29" i="164"/>
  <c r="I29" i="164" s="1"/>
  <c r="E29" i="164"/>
  <c r="B29" i="164"/>
  <c r="A29" i="164"/>
  <c r="J28" i="164"/>
  <c r="H28" i="164"/>
  <c r="I28" i="164" s="1"/>
  <c r="E28" i="164"/>
  <c r="B28" i="164"/>
  <c r="A28" i="164"/>
  <c r="J27" i="164"/>
  <c r="H27" i="164"/>
  <c r="I27" i="164" s="1"/>
  <c r="E27" i="164"/>
  <c r="B27" i="164"/>
  <c r="A27" i="164"/>
  <c r="J26" i="164"/>
  <c r="H26" i="164"/>
  <c r="I26" i="164" s="1"/>
  <c r="E26" i="164"/>
  <c r="B26" i="164"/>
  <c r="A26" i="164"/>
  <c r="J25" i="164"/>
  <c r="H25" i="164"/>
  <c r="I25" i="164" s="1"/>
  <c r="E25" i="164"/>
  <c r="B25" i="164"/>
  <c r="A25" i="164"/>
  <c r="J24" i="164"/>
  <c r="H24" i="164"/>
  <c r="I24" i="164" s="1"/>
  <c r="E24" i="164"/>
  <c r="B24" i="164"/>
  <c r="A24" i="164"/>
  <c r="J23" i="164"/>
  <c r="H23" i="164"/>
  <c r="I23" i="164" s="1"/>
  <c r="E23" i="164"/>
  <c r="B23" i="164"/>
  <c r="A23" i="164"/>
  <c r="J22" i="164"/>
  <c r="H22" i="164"/>
  <c r="I22" i="164" s="1"/>
  <c r="E22" i="164"/>
  <c r="B22" i="164"/>
  <c r="A22" i="164"/>
  <c r="J21" i="164"/>
  <c r="H21" i="164"/>
  <c r="I21" i="164" s="1"/>
  <c r="E21" i="164"/>
  <c r="B21" i="164"/>
  <c r="A21" i="164"/>
  <c r="J20" i="164"/>
  <c r="H20" i="164"/>
  <c r="I20" i="164" s="1"/>
  <c r="E20" i="164"/>
  <c r="B20" i="164"/>
  <c r="A20" i="164"/>
  <c r="J19" i="164"/>
  <c r="H19" i="164"/>
  <c r="I19" i="164" s="1"/>
  <c r="E19" i="164"/>
  <c r="B19" i="164"/>
  <c r="A19" i="164"/>
  <c r="J18" i="164"/>
  <c r="H18" i="164"/>
  <c r="I18" i="164" s="1"/>
  <c r="E18" i="164"/>
  <c r="B18" i="164"/>
  <c r="A18" i="164"/>
  <c r="J17" i="164"/>
  <c r="H17" i="164"/>
  <c r="I17" i="164" s="1"/>
  <c r="E17" i="164"/>
  <c r="B17" i="164"/>
  <c r="A17" i="164"/>
  <c r="J16" i="164"/>
  <c r="H16" i="164"/>
  <c r="I16" i="164" s="1"/>
  <c r="E16" i="164"/>
  <c r="B16" i="164"/>
  <c r="A16" i="164"/>
  <c r="J15" i="164"/>
  <c r="H15" i="164"/>
  <c r="I15" i="164" s="1"/>
  <c r="E15" i="164"/>
  <c r="B15" i="164"/>
  <c r="A15" i="164"/>
  <c r="J14" i="164"/>
  <c r="H14" i="164"/>
  <c r="I14" i="164" s="1"/>
  <c r="E14" i="164"/>
  <c r="B14" i="164"/>
  <c r="A14" i="164"/>
  <c r="J13" i="164"/>
  <c r="H13" i="164"/>
  <c r="I13" i="164" s="1"/>
  <c r="E13" i="164"/>
  <c r="B13" i="164"/>
  <c r="A13" i="164"/>
  <c r="J12" i="164"/>
  <c r="H12" i="164"/>
  <c r="I12" i="164" s="1"/>
  <c r="E12" i="164"/>
  <c r="B12" i="164"/>
  <c r="A12" i="164"/>
  <c r="J11" i="164"/>
  <c r="H11" i="164"/>
  <c r="I11" i="164" s="1"/>
  <c r="E11" i="164"/>
  <c r="B11" i="164"/>
  <c r="A11" i="164"/>
  <c r="J10" i="164"/>
  <c r="H10" i="164"/>
  <c r="I10" i="164" s="1"/>
  <c r="E10" i="164"/>
  <c r="B10" i="164"/>
  <c r="A10" i="164"/>
  <c r="M5" i="164"/>
  <c r="L5" i="164"/>
  <c r="K5" i="164"/>
  <c r="J5" i="164"/>
  <c r="I5" i="164"/>
  <c r="H5" i="164"/>
  <c r="D1" i="164"/>
  <c r="A1" i="164"/>
  <c r="J41" i="163"/>
  <c r="H41" i="163"/>
  <c r="I41" i="163" s="1"/>
  <c r="E41" i="163"/>
  <c r="B41" i="163"/>
  <c r="A41" i="163"/>
  <c r="J40" i="163"/>
  <c r="H40" i="163"/>
  <c r="I40" i="163" s="1"/>
  <c r="E40" i="163"/>
  <c r="B40" i="163"/>
  <c r="A40" i="163"/>
  <c r="J39" i="163"/>
  <c r="H39" i="163"/>
  <c r="I39" i="163" s="1"/>
  <c r="E39" i="163"/>
  <c r="B39" i="163"/>
  <c r="A39" i="163"/>
  <c r="J38" i="163"/>
  <c r="H38" i="163"/>
  <c r="I38" i="163" s="1"/>
  <c r="E38" i="163"/>
  <c r="B38" i="163"/>
  <c r="A38" i="163"/>
  <c r="J37" i="163"/>
  <c r="H37" i="163"/>
  <c r="I37" i="163" s="1"/>
  <c r="E37" i="163"/>
  <c r="B37" i="163"/>
  <c r="A37" i="163"/>
  <c r="J36" i="163"/>
  <c r="H36" i="163"/>
  <c r="I36" i="163" s="1"/>
  <c r="E36" i="163"/>
  <c r="B36" i="163"/>
  <c r="A36" i="163"/>
  <c r="J35" i="163"/>
  <c r="H35" i="163"/>
  <c r="I35" i="163" s="1"/>
  <c r="E35" i="163"/>
  <c r="B35" i="163"/>
  <c r="A35" i="163"/>
  <c r="J34" i="163"/>
  <c r="H34" i="163"/>
  <c r="I34" i="163" s="1"/>
  <c r="E34" i="163"/>
  <c r="B34" i="163"/>
  <c r="A34" i="163"/>
  <c r="J33" i="163"/>
  <c r="H33" i="163"/>
  <c r="I33" i="163" s="1"/>
  <c r="E33" i="163"/>
  <c r="B33" i="163"/>
  <c r="A33" i="163"/>
  <c r="J32" i="163"/>
  <c r="H32" i="163"/>
  <c r="I32" i="163" s="1"/>
  <c r="E32" i="163"/>
  <c r="B32" i="163"/>
  <c r="A32" i="163"/>
  <c r="J31" i="163"/>
  <c r="H31" i="163"/>
  <c r="I31" i="163" s="1"/>
  <c r="E31" i="163"/>
  <c r="B31" i="163"/>
  <c r="A31" i="163"/>
  <c r="J30" i="163"/>
  <c r="H30" i="163"/>
  <c r="I30" i="163" s="1"/>
  <c r="E30" i="163"/>
  <c r="B30" i="163"/>
  <c r="A30" i="163"/>
  <c r="J29" i="163"/>
  <c r="H29" i="163"/>
  <c r="I29" i="163" s="1"/>
  <c r="E29" i="163"/>
  <c r="B29" i="163"/>
  <c r="A29" i="163"/>
  <c r="J28" i="163"/>
  <c r="H28" i="163"/>
  <c r="I28" i="163" s="1"/>
  <c r="E28" i="163"/>
  <c r="B28" i="163"/>
  <c r="A28" i="163"/>
  <c r="J27" i="163"/>
  <c r="H27" i="163"/>
  <c r="I27" i="163" s="1"/>
  <c r="E27" i="163"/>
  <c r="B27" i="163"/>
  <c r="A27" i="163"/>
  <c r="J26" i="163"/>
  <c r="H26" i="163"/>
  <c r="I26" i="163" s="1"/>
  <c r="E26" i="163"/>
  <c r="B26" i="163"/>
  <c r="A26" i="163"/>
  <c r="J25" i="163"/>
  <c r="H25" i="163"/>
  <c r="I25" i="163" s="1"/>
  <c r="E25" i="163"/>
  <c r="B25" i="163"/>
  <c r="A25" i="163"/>
  <c r="J24" i="163"/>
  <c r="H24" i="163"/>
  <c r="I24" i="163" s="1"/>
  <c r="E24" i="163"/>
  <c r="B24" i="163"/>
  <c r="A24" i="163"/>
  <c r="J23" i="163"/>
  <c r="H23" i="163"/>
  <c r="I23" i="163" s="1"/>
  <c r="E23" i="163"/>
  <c r="B23" i="163"/>
  <c r="A23" i="163"/>
  <c r="J22" i="163"/>
  <c r="H22" i="163"/>
  <c r="I22" i="163" s="1"/>
  <c r="E22" i="163"/>
  <c r="B22" i="163"/>
  <c r="A22" i="163"/>
  <c r="J21" i="163"/>
  <c r="H21" i="163"/>
  <c r="I21" i="163" s="1"/>
  <c r="E21" i="163"/>
  <c r="B21" i="163"/>
  <c r="A21" i="163"/>
  <c r="J20" i="163"/>
  <c r="H20" i="163"/>
  <c r="I20" i="163" s="1"/>
  <c r="E20" i="163"/>
  <c r="B20" i="163"/>
  <c r="A20" i="163"/>
  <c r="J19" i="163"/>
  <c r="H19" i="163"/>
  <c r="I19" i="163" s="1"/>
  <c r="E19" i="163"/>
  <c r="B19" i="163"/>
  <c r="A19" i="163"/>
  <c r="J18" i="163"/>
  <c r="I18" i="163"/>
  <c r="H18" i="163"/>
  <c r="E18" i="163"/>
  <c r="B18" i="163"/>
  <c r="A18" i="163"/>
  <c r="J17" i="163"/>
  <c r="H17" i="163"/>
  <c r="I17" i="163" s="1"/>
  <c r="E17" i="163"/>
  <c r="B17" i="163"/>
  <c r="A17" i="163"/>
  <c r="J16" i="163"/>
  <c r="H16" i="163"/>
  <c r="I16" i="163" s="1"/>
  <c r="E16" i="163"/>
  <c r="B16" i="163"/>
  <c r="A16" i="163"/>
  <c r="J15" i="163"/>
  <c r="H15" i="163"/>
  <c r="I15" i="163" s="1"/>
  <c r="E15" i="163"/>
  <c r="B15" i="163"/>
  <c r="A15" i="163"/>
  <c r="J14" i="163"/>
  <c r="H14" i="163"/>
  <c r="I14" i="163" s="1"/>
  <c r="E14" i="163"/>
  <c r="B14" i="163"/>
  <c r="A14" i="163"/>
  <c r="J13" i="163"/>
  <c r="H13" i="163"/>
  <c r="I13" i="163" s="1"/>
  <c r="E13" i="163"/>
  <c r="B13" i="163"/>
  <c r="A13" i="163"/>
  <c r="J12" i="163"/>
  <c r="H12" i="163"/>
  <c r="I12" i="163" s="1"/>
  <c r="E12" i="163"/>
  <c r="B12" i="163"/>
  <c r="A12" i="163"/>
  <c r="J11" i="163"/>
  <c r="H11" i="163"/>
  <c r="I11" i="163" s="1"/>
  <c r="E11" i="163"/>
  <c r="B11" i="163"/>
  <c r="A11" i="163"/>
  <c r="J10" i="163"/>
  <c r="H10" i="163"/>
  <c r="I10" i="163" s="1"/>
  <c r="E10" i="163"/>
  <c r="B10" i="163"/>
  <c r="A10" i="163"/>
  <c r="M5" i="163"/>
  <c r="L5" i="163"/>
  <c r="K5" i="163"/>
  <c r="J5" i="163"/>
  <c r="I5" i="163"/>
  <c r="H5" i="163"/>
  <c r="D1" i="163"/>
  <c r="A1" i="163"/>
  <c r="J41" i="162"/>
  <c r="I41" i="162"/>
  <c r="H41" i="162"/>
  <c r="E41" i="162"/>
  <c r="B41" i="162"/>
  <c r="A41" i="162"/>
  <c r="C41" i="162" s="1"/>
  <c r="J40" i="162"/>
  <c r="H40" i="162"/>
  <c r="I40" i="162" s="1"/>
  <c r="E40" i="162"/>
  <c r="B40" i="162"/>
  <c r="A40" i="162"/>
  <c r="J39" i="162"/>
  <c r="H39" i="162"/>
  <c r="I39" i="162" s="1"/>
  <c r="E39" i="162"/>
  <c r="B39" i="162"/>
  <c r="A39" i="162"/>
  <c r="J38" i="162"/>
  <c r="H38" i="162"/>
  <c r="I38" i="162" s="1"/>
  <c r="E38" i="162"/>
  <c r="B38" i="162"/>
  <c r="A38" i="162"/>
  <c r="J37" i="162"/>
  <c r="H37" i="162"/>
  <c r="I37" i="162" s="1"/>
  <c r="E37" i="162"/>
  <c r="B37" i="162"/>
  <c r="A37" i="162"/>
  <c r="J36" i="162"/>
  <c r="H36" i="162"/>
  <c r="I36" i="162" s="1"/>
  <c r="E36" i="162"/>
  <c r="B36" i="162"/>
  <c r="A36" i="162"/>
  <c r="J35" i="162"/>
  <c r="H35" i="162"/>
  <c r="I35" i="162" s="1"/>
  <c r="E35" i="162"/>
  <c r="B35" i="162"/>
  <c r="A35" i="162"/>
  <c r="J34" i="162"/>
  <c r="H34" i="162"/>
  <c r="I34" i="162" s="1"/>
  <c r="E34" i="162"/>
  <c r="B34" i="162"/>
  <c r="A34" i="162"/>
  <c r="J33" i="162"/>
  <c r="H33" i="162"/>
  <c r="I33" i="162" s="1"/>
  <c r="E33" i="162"/>
  <c r="B33" i="162"/>
  <c r="A33" i="162"/>
  <c r="J32" i="162"/>
  <c r="H32" i="162"/>
  <c r="I32" i="162" s="1"/>
  <c r="E32" i="162"/>
  <c r="B32" i="162"/>
  <c r="A32" i="162"/>
  <c r="J31" i="162"/>
  <c r="H31" i="162"/>
  <c r="I31" i="162" s="1"/>
  <c r="E31" i="162"/>
  <c r="B31" i="162"/>
  <c r="A31" i="162"/>
  <c r="J30" i="162"/>
  <c r="H30" i="162"/>
  <c r="I30" i="162" s="1"/>
  <c r="E30" i="162"/>
  <c r="B30" i="162"/>
  <c r="A30" i="162"/>
  <c r="J29" i="162"/>
  <c r="H29" i="162"/>
  <c r="I29" i="162" s="1"/>
  <c r="E29" i="162"/>
  <c r="B29" i="162"/>
  <c r="A29" i="162"/>
  <c r="J28" i="162"/>
  <c r="H28" i="162"/>
  <c r="I28" i="162" s="1"/>
  <c r="E28" i="162"/>
  <c r="B28" i="162"/>
  <c r="A28" i="162"/>
  <c r="J27" i="162"/>
  <c r="H27" i="162"/>
  <c r="I27" i="162" s="1"/>
  <c r="E27" i="162"/>
  <c r="B27" i="162"/>
  <c r="A27" i="162"/>
  <c r="J26" i="162"/>
  <c r="H26" i="162"/>
  <c r="I26" i="162" s="1"/>
  <c r="E26" i="162"/>
  <c r="B26" i="162"/>
  <c r="A26" i="162"/>
  <c r="J25" i="162"/>
  <c r="H25" i="162"/>
  <c r="I25" i="162" s="1"/>
  <c r="E25" i="162"/>
  <c r="B25" i="162"/>
  <c r="A25" i="162"/>
  <c r="J24" i="162"/>
  <c r="H24" i="162"/>
  <c r="I24" i="162" s="1"/>
  <c r="E24" i="162"/>
  <c r="B24" i="162"/>
  <c r="A24" i="162"/>
  <c r="J23" i="162"/>
  <c r="H23" i="162"/>
  <c r="I23" i="162" s="1"/>
  <c r="E23" i="162"/>
  <c r="B23" i="162"/>
  <c r="A23" i="162"/>
  <c r="J22" i="162"/>
  <c r="H22" i="162"/>
  <c r="I22" i="162" s="1"/>
  <c r="E22" i="162"/>
  <c r="B22" i="162"/>
  <c r="A22" i="162"/>
  <c r="J21" i="162"/>
  <c r="H21" i="162"/>
  <c r="I21" i="162" s="1"/>
  <c r="E21" i="162"/>
  <c r="B21" i="162"/>
  <c r="A21" i="162"/>
  <c r="J20" i="162"/>
  <c r="H20" i="162"/>
  <c r="I20" i="162" s="1"/>
  <c r="E20" i="162"/>
  <c r="B20" i="162"/>
  <c r="A20" i="162"/>
  <c r="J19" i="162"/>
  <c r="H19" i="162"/>
  <c r="I19" i="162" s="1"/>
  <c r="E19" i="162"/>
  <c r="B19" i="162"/>
  <c r="A19" i="162"/>
  <c r="J18" i="162"/>
  <c r="H18" i="162"/>
  <c r="I18" i="162" s="1"/>
  <c r="E18" i="162"/>
  <c r="B18" i="162"/>
  <c r="A18" i="162"/>
  <c r="J17" i="162"/>
  <c r="H17" i="162"/>
  <c r="I17" i="162" s="1"/>
  <c r="E17" i="162"/>
  <c r="B17" i="162"/>
  <c r="A17" i="162"/>
  <c r="J16" i="162"/>
  <c r="H16" i="162"/>
  <c r="I16" i="162" s="1"/>
  <c r="E16" i="162"/>
  <c r="B16" i="162"/>
  <c r="A16" i="162"/>
  <c r="J15" i="162"/>
  <c r="H15" i="162"/>
  <c r="I15" i="162" s="1"/>
  <c r="E15" i="162"/>
  <c r="B15" i="162"/>
  <c r="A15" i="162"/>
  <c r="J14" i="162"/>
  <c r="H14" i="162"/>
  <c r="I14" i="162" s="1"/>
  <c r="E14" i="162"/>
  <c r="B14" i="162"/>
  <c r="A14" i="162"/>
  <c r="J13" i="162"/>
  <c r="H13" i="162"/>
  <c r="I13" i="162" s="1"/>
  <c r="E13" i="162"/>
  <c r="B13" i="162"/>
  <c r="A13" i="162"/>
  <c r="J12" i="162"/>
  <c r="H12" i="162"/>
  <c r="I12" i="162" s="1"/>
  <c r="E12" i="162"/>
  <c r="B12" i="162"/>
  <c r="A12" i="162"/>
  <c r="J11" i="162"/>
  <c r="H11" i="162"/>
  <c r="I11" i="162" s="1"/>
  <c r="E11" i="162"/>
  <c r="B11" i="162"/>
  <c r="A11" i="162"/>
  <c r="J10" i="162"/>
  <c r="H10" i="162"/>
  <c r="I10" i="162" s="1"/>
  <c r="E10" i="162"/>
  <c r="B10" i="162"/>
  <c r="A10" i="162"/>
  <c r="M5" i="162"/>
  <c r="L5" i="162"/>
  <c r="K5" i="162"/>
  <c r="J5" i="162"/>
  <c r="I5" i="162"/>
  <c r="H5" i="162"/>
  <c r="D1" i="162"/>
  <c r="A1" i="162"/>
  <c r="J41" i="161"/>
  <c r="I41" i="161"/>
  <c r="H41" i="161"/>
  <c r="E41" i="161"/>
  <c r="B41" i="161"/>
  <c r="A41" i="161"/>
  <c r="C41" i="161" s="1"/>
  <c r="J40" i="161"/>
  <c r="H40" i="161"/>
  <c r="I40" i="161" s="1"/>
  <c r="E40" i="161"/>
  <c r="B40" i="161"/>
  <c r="A40" i="161"/>
  <c r="J39" i="161"/>
  <c r="H39" i="161"/>
  <c r="I39" i="161" s="1"/>
  <c r="E39" i="161"/>
  <c r="B39" i="161"/>
  <c r="A39" i="161"/>
  <c r="J38" i="161"/>
  <c r="H38" i="161"/>
  <c r="I38" i="161" s="1"/>
  <c r="E38" i="161"/>
  <c r="B38" i="161"/>
  <c r="A38" i="161"/>
  <c r="J37" i="161"/>
  <c r="H37" i="161"/>
  <c r="I37" i="161" s="1"/>
  <c r="E37" i="161"/>
  <c r="B37" i="161"/>
  <c r="A37" i="161"/>
  <c r="J36" i="161"/>
  <c r="H36" i="161"/>
  <c r="I36" i="161" s="1"/>
  <c r="E36" i="161"/>
  <c r="B36" i="161"/>
  <c r="A36" i="161"/>
  <c r="J35" i="161"/>
  <c r="H35" i="161"/>
  <c r="I35" i="161" s="1"/>
  <c r="E35" i="161"/>
  <c r="B35" i="161"/>
  <c r="A35" i="161"/>
  <c r="J34" i="161"/>
  <c r="H34" i="161"/>
  <c r="I34" i="161" s="1"/>
  <c r="E34" i="161"/>
  <c r="B34" i="161"/>
  <c r="A34" i="161"/>
  <c r="J33" i="161"/>
  <c r="H33" i="161"/>
  <c r="I33" i="161" s="1"/>
  <c r="E33" i="161"/>
  <c r="B33" i="161"/>
  <c r="A33" i="161"/>
  <c r="J32" i="161"/>
  <c r="H32" i="161"/>
  <c r="I32" i="161" s="1"/>
  <c r="E32" i="161"/>
  <c r="B32" i="161"/>
  <c r="A32" i="161"/>
  <c r="J31" i="161"/>
  <c r="H31" i="161"/>
  <c r="I31" i="161" s="1"/>
  <c r="E31" i="161"/>
  <c r="B31" i="161"/>
  <c r="A31" i="161"/>
  <c r="J30" i="161"/>
  <c r="H30" i="161"/>
  <c r="I30" i="161" s="1"/>
  <c r="E30" i="161"/>
  <c r="B30" i="161"/>
  <c r="A30" i="161"/>
  <c r="J29" i="161"/>
  <c r="H29" i="161"/>
  <c r="I29" i="161" s="1"/>
  <c r="E29" i="161"/>
  <c r="B29" i="161"/>
  <c r="A29" i="161"/>
  <c r="J28" i="161"/>
  <c r="H28" i="161"/>
  <c r="I28" i="161" s="1"/>
  <c r="E28" i="161"/>
  <c r="B28" i="161"/>
  <c r="A28" i="161"/>
  <c r="J27" i="161"/>
  <c r="H27" i="161"/>
  <c r="I27" i="161" s="1"/>
  <c r="E27" i="161"/>
  <c r="B27" i="161"/>
  <c r="A27" i="161"/>
  <c r="J26" i="161"/>
  <c r="H26" i="161"/>
  <c r="I26" i="161" s="1"/>
  <c r="E26" i="161"/>
  <c r="B26" i="161"/>
  <c r="A26" i="161"/>
  <c r="J25" i="161"/>
  <c r="H25" i="161"/>
  <c r="I25" i="161" s="1"/>
  <c r="E25" i="161"/>
  <c r="B25" i="161"/>
  <c r="A25" i="161"/>
  <c r="J24" i="161"/>
  <c r="H24" i="161"/>
  <c r="I24" i="161" s="1"/>
  <c r="E24" i="161"/>
  <c r="B24" i="161"/>
  <c r="A24" i="161"/>
  <c r="C24" i="161" s="1"/>
  <c r="J23" i="161"/>
  <c r="H23" i="161"/>
  <c r="I23" i="161" s="1"/>
  <c r="E23" i="161"/>
  <c r="B23" i="161"/>
  <c r="A23" i="161"/>
  <c r="J22" i="161"/>
  <c r="H22" i="161"/>
  <c r="I22" i="161" s="1"/>
  <c r="E22" i="161"/>
  <c r="B22" i="161"/>
  <c r="A22" i="161"/>
  <c r="J21" i="161"/>
  <c r="H21" i="161"/>
  <c r="I21" i="161" s="1"/>
  <c r="E21" i="161"/>
  <c r="B21" i="161"/>
  <c r="A21" i="161"/>
  <c r="J20" i="161"/>
  <c r="H20" i="161"/>
  <c r="I20" i="161" s="1"/>
  <c r="E20" i="161"/>
  <c r="B20" i="161"/>
  <c r="A20" i="161"/>
  <c r="J19" i="161"/>
  <c r="H19" i="161"/>
  <c r="I19" i="161" s="1"/>
  <c r="E19" i="161"/>
  <c r="B19" i="161"/>
  <c r="A19" i="161"/>
  <c r="J18" i="161"/>
  <c r="H18" i="161"/>
  <c r="I18" i="161" s="1"/>
  <c r="E18" i="161"/>
  <c r="B18" i="161"/>
  <c r="A18" i="161"/>
  <c r="J17" i="161"/>
  <c r="H17" i="161"/>
  <c r="I17" i="161" s="1"/>
  <c r="E17" i="161"/>
  <c r="B17" i="161"/>
  <c r="A17" i="161"/>
  <c r="J16" i="161"/>
  <c r="H16" i="161"/>
  <c r="I16" i="161" s="1"/>
  <c r="E16" i="161"/>
  <c r="B16" i="161"/>
  <c r="A16" i="161"/>
  <c r="J15" i="161"/>
  <c r="I15" i="161"/>
  <c r="H15" i="161"/>
  <c r="E15" i="161"/>
  <c r="B15" i="161"/>
  <c r="A15" i="161"/>
  <c r="C15" i="161" s="1"/>
  <c r="J14" i="161"/>
  <c r="H14" i="161"/>
  <c r="I14" i="161" s="1"/>
  <c r="E14" i="161"/>
  <c r="B14" i="161"/>
  <c r="A14" i="161"/>
  <c r="J13" i="161"/>
  <c r="H13" i="161"/>
  <c r="I13" i="161" s="1"/>
  <c r="E13" i="161"/>
  <c r="B13" i="161"/>
  <c r="A13" i="161"/>
  <c r="J12" i="161"/>
  <c r="H12" i="161"/>
  <c r="I12" i="161" s="1"/>
  <c r="E12" i="161"/>
  <c r="B12" i="161"/>
  <c r="A12" i="161"/>
  <c r="J11" i="161"/>
  <c r="H11" i="161"/>
  <c r="I11" i="161" s="1"/>
  <c r="E11" i="161"/>
  <c r="B11" i="161"/>
  <c r="A11" i="161"/>
  <c r="J10" i="161"/>
  <c r="H10" i="161"/>
  <c r="I10" i="161" s="1"/>
  <c r="E10" i="161"/>
  <c r="B10" i="161"/>
  <c r="A10" i="161"/>
  <c r="M5" i="161"/>
  <c r="L5" i="161"/>
  <c r="K5" i="161"/>
  <c r="J5" i="161"/>
  <c r="I5" i="161"/>
  <c r="H5" i="161"/>
  <c r="D1" i="161"/>
  <c r="A1" i="161"/>
  <c r="J41" i="160"/>
  <c r="H41" i="160"/>
  <c r="I41" i="160" s="1"/>
  <c r="E41" i="160"/>
  <c r="B41" i="160"/>
  <c r="A41" i="160"/>
  <c r="J40" i="160"/>
  <c r="H40" i="160"/>
  <c r="I40" i="160" s="1"/>
  <c r="E40" i="160"/>
  <c r="B40" i="160"/>
  <c r="A40" i="160"/>
  <c r="J39" i="160"/>
  <c r="H39" i="160"/>
  <c r="I39" i="160" s="1"/>
  <c r="E39" i="160"/>
  <c r="B39" i="160"/>
  <c r="A39" i="160"/>
  <c r="J38" i="160"/>
  <c r="H38" i="160"/>
  <c r="I38" i="160" s="1"/>
  <c r="E38" i="160"/>
  <c r="B38" i="160"/>
  <c r="A38" i="160"/>
  <c r="J37" i="160"/>
  <c r="H37" i="160"/>
  <c r="I37" i="160" s="1"/>
  <c r="E37" i="160"/>
  <c r="B37" i="160"/>
  <c r="A37" i="160"/>
  <c r="J36" i="160"/>
  <c r="H36" i="160"/>
  <c r="I36" i="160" s="1"/>
  <c r="E36" i="160"/>
  <c r="B36" i="160"/>
  <c r="A36" i="160"/>
  <c r="J35" i="160"/>
  <c r="H35" i="160"/>
  <c r="I35" i="160" s="1"/>
  <c r="E35" i="160"/>
  <c r="B35" i="160"/>
  <c r="A35" i="160"/>
  <c r="J34" i="160"/>
  <c r="H34" i="160"/>
  <c r="I34" i="160" s="1"/>
  <c r="E34" i="160"/>
  <c r="B34" i="160"/>
  <c r="A34" i="160"/>
  <c r="J33" i="160"/>
  <c r="H33" i="160"/>
  <c r="I33" i="160" s="1"/>
  <c r="E33" i="160"/>
  <c r="B33" i="160"/>
  <c r="A33" i="160"/>
  <c r="J32" i="160"/>
  <c r="H32" i="160"/>
  <c r="I32" i="160" s="1"/>
  <c r="E32" i="160"/>
  <c r="B32" i="160"/>
  <c r="A32" i="160"/>
  <c r="J31" i="160"/>
  <c r="H31" i="160"/>
  <c r="I31" i="160" s="1"/>
  <c r="E31" i="160"/>
  <c r="B31" i="160"/>
  <c r="A31" i="160"/>
  <c r="J30" i="160"/>
  <c r="H30" i="160"/>
  <c r="I30" i="160" s="1"/>
  <c r="E30" i="160"/>
  <c r="B30" i="160"/>
  <c r="A30" i="160"/>
  <c r="J29" i="160"/>
  <c r="H29" i="160"/>
  <c r="I29" i="160" s="1"/>
  <c r="E29" i="160"/>
  <c r="B29" i="160"/>
  <c r="A29" i="160"/>
  <c r="J28" i="160"/>
  <c r="H28" i="160"/>
  <c r="I28" i="160" s="1"/>
  <c r="E28" i="160"/>
  <c r="B28" i="160"/>
  <c r="A28" i="160"/>
  <c r="J27" i="160"/>
  <c r="H27" i="160"/>
  <c r="I27" i="160" s="1"/>
  <c r="E27" i="160"/>
  <c r="B27" i="160"/>
  <c r="A27" i="160"/>
  <c r="J26" i="160"/>
  <c r="H26" i="160"/>
  <c r="I26" i="160" s="1"/>
  <c r="E26" i="160"/>
  <c r="B26" i="160"/>
  <c r="A26" i="160"/>
  <c r="J25" i="160"/>
  <c r="H25" i="160"/>
  <c r="I25" i="160" s="1"/>
  <c r="E25" i="160"/>
  <c r="B25" i="160"/>
  <c r="A25" i="160"/>
  <c r="J24" i="160"/>
  <c r="H24" i="160"/>
  <c r="I24" i="160" s="1"/>
  <c r="E24" i="160"/>
  <c r="B24" i="160"/>
  <c r="A24" i="160"/>
  <c r="C24" i="160" s="1"/>
  <c r="J23" i="160"/>
  <c r="H23" i="160"/>
  <c r="I23" i="160" s="1"/>
  <c r="E23" i="160"/>
  <c r="B23" i="160"/>
  <c r="A23" i="160"/>
  <c r="J22" i="160"/>
  <c r="H22" i="160"/>
  <c r="I22" i="160" s="1"/>
  <c r="E22" i="160"/>
  <c r="B22" i="160"/>
  <c r="A22" i="160"/>
  <c r="J21" i="160"/>
  <c r="H21" i="160"/>
  <c r="I21" i="160" s="1"/>
  <c r="E21" i="160"/>
  <c r="B21" i="160"/>
  <c r="A21" i="160"/>
  <c r="J20" i="160"/>
  <c r="H20" i="160"/>
  <c r="I20" i="160" s="1"/>
  <c r="E20" i="160"/>
  <c r="B20" i="160"/>
  <c r="A20" i="160"/>
  <c r="J19" i="160"/>
  <c r="H19" i="160"/>
  <c r="I19" i="160" s="1"/>
  <c r="E19" i="160"/>
  <c r="B19" i="160"/>
  <c r="A19" i="160"/>
  <c r="J18" i="160"/>
  <c r="H18" i="160"/>
  <c r="I18" i="160" s="1"/>
  <c r="E18" i="160"/>
  <c r="B18" i="160"/>
  <c r="A18" i="160"/>
  <c r="J17" i="160"/>
  <c r="H17" i="160"/>
  <c r="I17" i="160" s="1"/>
  <c r="E17" i="160"/>
  <c r="B17" i="160"/>
  <c r="A17" i="160"/>
  <c r="J16" i="160"/>
  <c r="H16" i="160"/>
  <c r="I16" i="160" s="1"/>
  <c r="E16" i="160"/>
  <c r="B16" i="160"/>
  <c r="A16" i="160"/>
  <c r="J15" i="160"/>
  <c r="I15" i="160"/>
  <c r="H15" i="160"/>
  <c r="E15" i="160"/>
  <c r="B15" i="160"/>
  <c r="A15" i="160"/>
  <c r="C15" i="160" s="1"/>
  <c r="J14" i="160"/>
  <c r="H14" i="160"/>
  <c r="I14" i="160" s="1"/>
  <c r="E14" i="160"/>
  <c r="B14" i="160"/>
  <c r="A14" i="160"/>
  <c r="J13" i="160"/>
  <c r="H13" i="160"/>
  <c r="I13" i="160" s="1"/>
  <c r="E13" i="160"/>
  <c r="B13" i="160"/>
  <c r="A13" i="160"/>
  <c r="J12" i="160"/>
  <c r="H12" i="160"/>
  <c r="I12" i="160" s="1"/>
  <c r="E12" i="160"/>
  <c r="B12" i="160"/>
  <c r="A12" i="160"/>
  <c r="J11" i="160"/>
  <c r="H11" i="160"/>
  <c r="I11" i="160" s="1"/>
  <c r="E11" i="160"/>
  <c r="B11" i="160"/>
  <c r="A11" i="160"/>
  <c r="J10" i="160"/>
  <c r="H10" i="160"/>
  <c r="I10" i="160" s="1"/>
  <c r="E10" i="160"/>
  <c r="B10" i="160"/>
  <c r="A10" i="160"/>
  <c r="M5" i="160"/>
  <c r="L5" i="160"/>
  <c r="K5" i="160"/>
  <c r="J5" i="160"/>
  <c r="I5" i="160"/>
  <c r="H5" i="160"/>
  <c r="D1" i="160"/>
  <c r="A1" i="160"/>
  <c r="J41" i="159"/>
  <c r="H41" i="159"/>
  <c r="I41" i="159" s="1"/>
  <c r="E41" i="159"/>
  <c r="B41" i="159"/>
  <c r="A41" i="159"/>
  <c r="C41" i="159" s="1"/>
  <c r="J40" i="159"/>
  <c r="H40" i="159"/>
  <c r="I40" i="159" s="1"/>
  <c r="E40" i="159"/>
  <c r="B40" i="159"/>
  <c r="A40" i="159"/>
  <c r="J39" i="159"/>
  <c r="H39" i="159"/>
  <c r="I39" i="159" s="1"/>
  <c r="E39" i="159"/>
  <c r="B39" i="159"/>
  <c r="A39" i="159"/>
  <c r="J38" i="159"/>
  <c r="H38" i="159"/>
  <c r="I38" i="159" s="1"/>
  <c r="E38" i="159"/>
  <c r="B38" i="159"/>
  <c r="A38" i="159"/>
  <c r="J37" i="159"/>
  <c r="H37" i="159"/>
  <c r="I37" i="159" s="1"/>
  <c r="E37" i="159"/>
  <c r="B37" i="159"/>
  <c r="A37" i="159"/>
  <c r="J36" i="159"/>
  <c r="H36" i="159"/>
  <c r="I36" i="159" s="1"/>
  <c r="E36" i="159"/>
  <c r="B36" i="159"/>
  <c r="A36" i="159"/>
  <c r="J35" i="159"/>
  <c r="H35" i="159"/>
  <c r="I35" i="159" s="1"/>
  <c r="E35" i="159"/>
  <c r="B35" i="159"/>
  <c r="A35" i="159"/>
  <c r="J34" i="159"/>
  <c r="H34" i="159"/>
  <c r="I34" i="159" s="1"/>
  <c r="E34" i="159"/>
  <c r="B34" i="159"/>
  <c r="A34" i="159"/>
  <c r="J33" i="159"/>
  <c r="H33" i="159"/>
  <c r="I33" i="159" s="1"/>
  <c r="E33" i="159"/>
  <c r="B33" i="159"/>
  <c r="A33" i="159"/>
  <c r="J32" i="159"/>
  <c r="H32" i="159"/>
  <c r="I32" i="159" s="1"/>
  <c r="E32" i="159"/>
  <c r="B32" i="159"/>
  <c r="A32" i="159"/>
  <c r="J31" i="159"/>
  <c r="H31" i="159"/>
  <c r="I31" i="159" s="1"/>
  <c r="E31" i="159"/>
  <c r="B31" i="159"/>
  <c r="A31" i="159"/>
  <c r="J30" i="159"/>
  <c r="H30" i="159"/>
  <c r="I30" i="159" s="1"/>
  <c r="E30" i="159"/>
  <c r="B30" i="159"/>
  <c r="A30" i="159"/>
  <c r="J29" i="159"/>
  <c r="H29" i="159"/>
  <c r="I29" i="159" s="1"/>
  <c r="E29" i="159"/>
  <c r="B29" i="159"/>
  <c r="A29" i="159"/>
  <c r="J28" i="159"/>
  <c r="H28" i="159"/>
  <c r="I28" i="159" s="1"/>
  <c r="E28" i="159"/>
  <c r="B28" i="159"/>
  <c r="A28" i="159"/>
  <c r="J27" i="159"/>
  <c r="H27" i="159"/>
  <c r="I27" i="159" s="1"/>
  <c r="E27" i="159"/>
  <c r="B27" i="159"/>
  <c r="A27" i="159"/>
  <c r="J26" i="159"/>
  <c r="I26" i="159"/>
  <c r="H26" i="159"/>
  <c r="E26" i="159"/>
  <c r="B26" i="159"/>
  <c r="A26" i="159"/>
  <c r="J25" i="159"/>
  <c r="H25" i="159"/>
  <c r="I25" i="159" s="1"/>
  <c r="E25" i="159"/>
  <c r="B25" i="159"/>
  <c r="A25" i="159"/>
  <c r="J24" i="159"/>
  <c r="H24" i="159"/>
  <c r="I24" i="159" s="1"/>
  <c r="E24" i="159"/>
  <c r="B24" i="159"/>
  <c r="A24" i="159"/>
  <c r="J23" i="159"/>
  <c r="H23" i="159"/>
  <c r="I23" i="159" s="1"/>
  <c r="E23" i="159"/>
  <c r="B23" i="159"/>
  <c r="A23" i="159"/>
  <c r="J22" i="159"/>
  <c r="H22" i="159"/>
  <c r="I22" i="159" s="1"/>
  <c r="E22" i="159"/>
  <c r="B22" i="159"/>
  <c r="A22" i="159"/>
  <c r="J21" i="159"/>
  <c r="H21" i="159"/>
  <c r="I21" i="159" s="1"/>
  <c r="E21" i="159"/>
  <c r="B21" i="159"/>
  <c r="A21" i="159"/>
  <c r="J20" i="159"/>
  <c r="H20" i="159"/>
  <c r="I20" i="159" s="1"/>
  <c r="E20" i="159"/>
  <c r="B20" i="159"/>
  <c r="A20" i="159"/>
  <c r="J19" i="159"/>
  <c r="H19" i="159"/>
  <c r="I19" i="159" s="1"/>
  <c r="E19" i="159"/>
  <c r="B19" i="159"/>
  <c r="A19" i="159"/>
  <c r="J18" i="159"/>
  <c r="H18" i="159"/>
  <c r="I18" i="159" s="1"/>
  <c r="E18" i="159"/>
  <c r="B18" i="159"/>
  <c r="A18" i="159"/>
  <c r="J17" i="159"/>
  <c r="H17" i="159"/>
  <c r="I17" i="159" s="1"/>
  <c r="E17" i="159"/>
  <c r="B17" i="159"/>
  <c r="A17" i="159"/>
  <c r="J16" i="159"/>
  <c r="H16" i="159"/>
  <c r="I16" i="159" s="1"/>
  <c r="E16" i="159"/>
  <c r="B16" i="159"/>
  <c r="A16" i="159"/>
  <c r="J15" i="159"/>
  <c r="H15" i="159"/>
  <c r="I15" i="159" s="1"/>
  <c r="E15" i="159"/>
  <c r="B15" i="159"/>
  <c r="A15" i="159"/>
  <c r="J14" i="159"/>
  <c r="H14" i="159"/>
  <c r="I14" i="159" s="1"/>
  <c r="E14" i="159"/>
  <c r="B14" i="159"/>
  <c r="A14" i="159"/>
  <c r="J13" i="159"/>
  <c r="H13" i="159"/>
  <c r="I13" i="159" s="1"/>
  <c r="E13" i="159"/>
  <c r="B13" i="159"/>
  <c r="A13" i="159"/>
  <c r="J12" i="159"/>
  <c r="H12" i="159"/>
  <c r="I12" i="159" s="1"/>
  <c r="E12" i="159"/>
  <c r="B12" i="159"/>
  <c r="A12" i="159"/>
  <c r="J11" i="159"/>
  <c r="H11" i="159"/>
  <c r="I11" i="159" s="1"/>
  <c r="E11" i="159"/>
  <c r="B11" i="159"/>
  <c r="A11" i="159"/>
  <c r="J10" i="159"/>
  <c r="I10" i="159"/>
  <c r="H10" i="159"/>
  <c r="E10" i="159"/>
  <c r="B10" i="159"/>
  <c r="A10" i="159"/>
  <c r="M5" i="159"/>
  <c r="L5" i="159"/>
  <c r="K5" i="159"/>
  <c r="J5" i="159"/>
  <c r="I5" i="159"/>
  <c r="H5" i="159"/>
  <c r="D1" i="159"/>
  <c r="A1" i="159"/>
  <c r="J41" i="158"/>
  <c r="H41" i="158"/>
  <c r="I41" i="158" s="1"/>
  <c r="E41" i="158"/>
  <c r="B41" i="158"/>
  <c r="A41" i="158"/>
  <c r="J40" i="158"/>
  <c r="H40" i="158"/>
  <c r="I40" i="158" s="1"/>
  <c r="E40" i="158"/>
  <c r="B40" i="158"/>
  <c r="A40" i="158"/>
  <c r="J39" i="158"/>
  <c r="I39" i="158"/>
  <c r="H39" i="158"/>
  <c r="E39" i="158"/>
  <c r="B39" i="158"/>
  <c r="A39" i="158"/>
  <c r="J38" i="158"/>
  <c r="H38" i="158"/>
  <c r="I38" i="158" s="1"/>
  <c r="E38" i="158"/>
  <c r="B38" i="158"/>
  <c r="A38" i="158"/>
  <c r="J37" i="158"/>
  <c r="H37" i="158"/>
  <c r="I37" i="158" s="1"/>
  <c r="E37" i="158"/>
  <c r="B37" i="158"/>
  <c r="A37" i="158"/>
  <c r="J36" i="158"/>
  <c r="H36" i="158"/>
  <c r="I36" i="158" s="1"/>
  <c r="E36" i="158"/>
  <c r="B36" i="158"/>
  <c r="A36" i="158"/>
  <c r="J35" i="158"/>
  <c r="H35" i="158"/>
  <c r="I35" i="158" s="1"/>
  <c r="E35" i="158"/>
  <c r="B35" i="158"/>
  <c r="A35" i="158"/>
  <c r="J34" i="158"/>
  <c r="H34" i="158"/>
  <c r="I34" i="158" s="1"/>
  <c r="E34" i="158"/>
  <c r="B34" i="158"/>
  <c r="A34" i="158"/>
  <c r="J33" i="158"/>
  <c r="H33" i="158"/>
  <c r="I33" i="158" s="1"/>
  <c r="E33" i="158"/>
  <c r="B33" i="158"/>
  <c r="A33" i="158"/>
  <c r="J32" i="158"/>
  <c r="H32" i="158"/>
  <c r="I32" i="158" s="1"/>
  <c r="E32" i="158"/>
  <c r="B32" i="158"/>
  <c r="A32" i="158"/>
  <c r="J31" i="158"/>
  <c r="H31" i="158"/>
  <c r="I31" i="158" s="1"/>
  <c r="E31" i="158"/>
  <c r="B31" i="158"/>
  <c r="A31" i="158"/>
  <c r="J30" i="158"/>
  <c r="H30" i="158"/>
  <c r="I30" i="158" s="1"/>
  <c r="E30" i="158"/>
  <c r="B30" i="158"/>
  <c r="A30" i="158"/>
  <c r="J29" i="158"/>
  <c r="H29" i="158"/>
  <c r="I29" i="158" s="1"/>
  <c r="E29" i="158"/>
  <c r="B29" i="158"/>
  <c r="A29" i="158"/>
  <c r="J28" i="158"/>
  <c r="H28" i="158"/>
  <c r="I28" i="158" s="1"/>
  <c r="E28" i="158"/>
  <c r="B28" i="158"/>
  <c r="A28" i="158"/>
  <c r="J27" i="158"/>
  <c r="H27" i="158"/>
  <c r="I27" i="158" s="1"/>
  <c r="E27" i="158"/>
  <c r="B27" i="158"/>
  <c r="A27" i="158"/>
  <c r="J26" i="158"/>
  <c r="H26" i="158"/>
  <c r="I26" i="158" s="1"/>
  <c r="E26" i="158"/>
  <c r="B26" i="158"/>
  <c r="A26" i="158"/>
  <c r="J25" i="158"/>
  <c r="H25" i="158"/>
  <c r="I25" i="158" s="1"/>
  <c r="E25" i="158"/>
  <c r="B25" i="158"/>
  <c r="A25" i="158"/>
  <c r="J24" i="158"/>
  <c r="H24" i="158"/>
  <c r="I24" i="158" s="1"/>
  <c r="E24" i="158"/>
  <c r="B24" i="158"/>
  <c r="A24" i="158"/>
  <c r="J23" i="158"/>
  <c r="H23" i="158"/>
  <c r="I23" i="158" s="1"/>
  <c r="E23" i="158"/>
  <c r="B23" i="158"/>
  <c r="A23" i="158"/>
  <c r="J22" i="158"/>
  <c r="H22" i="158"/>
  <c r="I22" i="158" s="1"/>
  <c r="E22" i="158"/>
  <c r="B22" i="158"/>
  <c r="A22" i="158"/>
  <c r="J21" i="158"/>
  <c r="H21" i="158"/>
  <c r="I21" i="158" s="1"/>
  <c r="E21" i="158"/>
  <c r="B21" i="158"/>
  <c r="A21" i="158"/>
  <c r="J20" i="158"/>
  <c r="H20" i="158"/>
  <c r="I20" i="158" s="1"/>
  <c r="E20" i="158"/>
  <c r="B20" i="158"/>
  <c r="A20" i="158"/>
  <c r="J19" i="158"/>
  <c r="H19" i="158"/>
  <c r="I19" i="158" s="1"/>
  <c r="E19" i="158"/>
  <c r="B19" i="158"/>
  <c r="A19" i="158"/>
  <c r="J18" i="158"/>
  <c r="H18" i="158"/>
  <c r="I18" i="158" s="1"/>
  <c r="E18" i="158"/>
  <c r="B18" i="158"/>
  <c r="A18" i="158"/>
  <c r="J17" i="158"/>
  <c r="H17" i="158"/>
  <c r="I17" i="158" s="1"/>
  <c r="E17" i="158"/>
  <c r="B17" i="158"/>
  <c r="A17" i="158"/>
  <c r="J16" i="158"/>
  <c r="H16" i="158"/>
  <c r="I16" i="158" s="1"/>
  <c r="E16" i="158"/>
  <c r="B16" i="158"/>
  <c r="A16" i="158"/>
  <c r="J15" i="158"/>
  <c r="H15" i="158"/>
  <c r="I15" i="158" s="1"/>
  <c r="E15" i="158"/>
  <c r="B15" i="158"/>
  <c r="A15" i="158"/>
  <c r="J14" i="158"/>
  <c r="H14" i="158"/>
  <c r="I14" i="158" s="1"/>
  <c r="E14" i="158"/>
  <c r="B14" i="158"/>
  <c r="A14" i="158"/>
  <c r="J13" i="158"/>
  <c r="H13" i="158"/>
  <c r="I13" i="158" s="1"/>
  <c r="E13" i="158"/>
  <c r="B13" i="158"/>
  <c r="A13" i="158"/>
  <c r="J12" i="158"/>
  <c r="H12" i="158"/>
  <c r="I12" i="158" s="1"/>
  <c r="E12" i="158"/>
  <c r="B12" i="158"/>
  <c r="A12" i="158"/>
  <c r="J11" i="158"/>
  <c r="H11" i="158"/>
  <c r="I11" i="158" s="1"/>
  <c r="E11" i="158"/>
  <c r="B11" i="158"/>
  <c r="A11" i="158"/>
  <c r="J10" i="158"/>
  <c r="H10" i="158"/>
  <c r="I10" i="158" s="1"/>
  <c r="E10" i="158"/>
  <c r="B10" i="158"/>
  <c r="A10" i="158"/>
  <c r="M5" i="158"/>
  <c r="L5" i="158"/>
  <c r="K5" i="158"/>
  <c r="J5" i="158"/>
  <c r="I5" i="158"/>
  <c r="H5" i="158"/>
  <c r="D1" i="158"/>
  <c r="A1" i="158"/>
  <c r="J41" i="157"/>
  <c r="H41" i="157"/>
  <c r="I41" i="157" s="1"/>
  <c r="E41" i="157"/>
  <c r="B41" i="157"/>
  <c r="A41" i="157"/>
  <c r="J40" i="157"/>
  <c r="H40" i="157"/>
  <c r="I40" i="157" s="1"/>
  <c r="E40" i="157"/>
  <c r="B40" i="157"/>
  <c r="A40" i="157"/>
  <c r="J39" i="157"/>
  <c r="I39" i="157"/>
  <c r="H39" i="157"/>
  <c r="E39" i="157"/>
  <c r="B39" i="157"/>
  <c r="A39" i="157"/>
  <c r="J38" i="157"/>
  <c r="H38" i="157"/>
  <c r="I38" i="157" s="1"/>
  <c r="E38" i="157"/>
  <c r="B38" i="157"/>
  <c r="A38" i="157"/>
  <c r="J37" i="157"/>
  <c r="H37" i="157"/>
  <c r="I37" i="157" s="1"/>
  <c r="E37" i="157"/>
  <c r="B37" i="157"/>
  <c r="A37" i="157"/>
  <c r="J36" i="157"/>
  <c r="H36" i="157"/>
  <c r="I36" i="157" s="1"/>
  <c r="E36" i="157"/>
  <c r="B36" i="157"/>
  <c r="A36" i="157"/>
  <c r="J35" i="157"/>
  <c r="H35" i="157"/>
  <c r="I35" i="157" s="1"/>
  <c r="E35" i="157"/>
  <c r="B35" i="157"/>
  <c r="A35" i="157"/>
  <c r="J34" i="157"/>
  <c r="H34" i="157"/>
  <c r="I34" i="157" s="1"/>
  <c r="E34" i="157"/>
  <c r="B34" i="157"/>
  <c r="A34" i="157"/>
  <c r="J33" i="157"/>
  <c r="H33" i="157"/>
  <c r="I33" i="157" s="1"/>
  <c r="E33" i="157"/>
  <c r="B33" i="157"/>
  <c r="A33" i="157"/>
  <c r="J32" i="157"/>
  <c r="H32" i="157"/>
  <c r="I32" i="157" s="1"/>
  <c r="E32" i="157"/>
  <c r="B32" i="157"/>
  <c r="A32" i="157"/>
  <c r="J31" i="157"/>
  <c r="H31" i="157"/>
  <c r="I31" i="157" s="1"/>
  <c r="E31" i="157"/>
  <c r="B31" i="157"/>
  <c r="A31" i="157"/>
  <c r="J30" i="157"/>
  <c r="H30" i="157"/>
  <c r="I30" i="157" s="1"/>
  <c r="E30" i="157"/>
  <c r="B30" i="157"/>
  <c r="A30" i="157"/>
  <c r="J29" i="157"/>
  <c r="H29" i="157"/>
  <c r="I29" i="157" s="1"/>
  <c r="E29" i="157"/>
  <c r="B29" i="157"/>
  <c r="A29" i="157"/>
  <c r="J28" i="157"/>
  <c r="H28" i="157"/>
  <c r="I28" i="157" s="1"/>
  <c r="E28" i="157"/>
  <c r="B28" i="157"/>
  <c r="A28" i="157"/>
  <c r="J27" i="157"/>
  <c r="H27" i="157"/>
  <c r="I27" i="157" s="1"/>
  <c r="E27" i="157"/>
  <c r="B27" i="157"/>
  <c r="A27" i="157"/>
  <c r="J26" i="157"/>
  <c r="H26" i="157"/>
  <c r="I26" i="157" s="1"/>
  <c r="E26" i="157"/>
  <c r="B26" i="157"/>
  <c r="A26" i="157"/>
  <c r="J25" i="157"/>
  <c r="H25" i="157"/>
  <c r="I25" i="157" s="1"/>
  <c r="E25" i="157"/>
  <c r="B25" i="157"/>
  <c r="A25" i="157"/>
  <c r="J24" i="157"/>
  <c r="H24" i="157"/>
  <c r="I24" i="157" s="1"/>
  <c r="E24" i="157"/>
  <c r="B24" i="157"/>
  <c r="A24" i="157"/>
  <c r="J23" i="157"/>
  <c r="H23" i="157"/>
  <c r="I23" i="157" s="1"/>
  <c r="E23" i="157"/>
  <c r="B23" i="157"/>
  <c r="A23" i="157"/>
  <c r="J22" i="157"/>
  <c r="H22" i="157"/>
  <c r="I22" i="157" s="1"/>
  <c r="E22" i="157"/>
  <c r="B22" i="157"/>
  <c r="A22" i="157"/>
  <c r="J21" i="157"/>
  <c r="H21" i="157"/>
  <c r="I21" i="157" s="1"/>
  <c r="E21" i="157"/>
  <c r="B21" i="157"/>
  <c r="A21" i="157"/>
  <c r="J20" i="157"/>
  <c r="H20" i="157"/>
  <c r="I20" i="157" s="1"/>
  <c r="E20" i="157"/>
  <c r="B20" i="157"/>
  <c r="A20" i="157"/>
  <c r="J19" i="157"/>
  <c r="H19" i="157"/>
  <c r="I19" i="157" s="1"/>
  <c r="E19" i="157"/>
  <c r="B19" i="157"/>
  <c r="A19" i="157"/>
  <c r="J18" i="157"/>
  <c r="H18" i="157"/>
  <c r="I18" i="157" s="1"/>
  <c r="E18" i="157"/>
  <c r="B18" i="157"/>
  <c r="A18" i="157"/>
  <c r="J17" i="157"/>
  <c r="H17" i="157"/>
  <c r="I17" i="157" s="1"/>
  <c r="E17" i="157"/>
  <c r="B17" i="157"/>
  <c r="A17" i="157"/>
  <c r="J16" i="157"/>
  <c r="H16" i="157"/>
  <c r="I16" i="157" s="1"/>
  <c r="E16" i="157"/>
  <c r="B16" i="157"/>
  <c r="A16" i="157"/>
  <c r="J15" i="157"/>
  <c r="H15" i="157"/>
  <c r="I15" i="157" s="1"/>
  <c r="E15" i="157"/>
  <c r="B15" i="157"/>
  <c r="A15" i="157"/>
  <c r="J14" i="157"/>
  <c r="H14" i="157"/>
  <c r="I14" i="157" s="1"/>
  <c r="E14" i="157"/>
  <c r="B14" i="157"/>
  <c r="A14" i="157"/>
  <c r="J13" i="157"/>
  <c r="H13" i="157"/>
  <c r="I13" i="157" s="1"/>
  <c r="E13" i="157"/>
  <c r="B13" i="157"/>
  <c r="A13" i="157"/>
  <c r="J12" i="157"/>
  <c r="H12" i="157"/>
  <c r="I12" i="157" s="1"/>
  <c r="E12" i="157"/>
  <c r="B12" i="157"/>
  <c r="A12" i="157"/>
  <c r="J11" i="157"/>
  <c r="H11" i="157"/>
  <c r="I11" i="157" s="1"/>
  <c r="E11" i="157"/>
  <c r="B11" i="157"/>
  <c r="A11" i="157"/>
  <c r="J10" i="157"/>
  <c r="H10" i="157"/>
  <c r="I10" i="157" s="1"/>
  <c r="E10" i="157"/>
  <c r="B10" i="157"/>
  <c r="A10" i="157"/>
  <c r="M5" i="157"/>
  <c r="L5" i="157"/>
  <c r="K5" i="157"/>
  <c r="J5" i="157"/>
  <c r="I5" i="157"/>
  <c r="H5" i="157"/>
  <c r="D1" i="157"/>
  <c r="A1" i="157"/>
  <c r="J41" i="156"/>
  <c r="H41" i="156"/>
  <c r="I41" i="156" s="1"/>
  <c r="E41" i="156"/>
  <c r="B41" i="156"/>
  <c r="A41" i="156"/>
  <c r="J40" i="156"/>
  <c r="H40" i="156"/>
  <c r="I40" i="156" s="1"/>
  <c r="E40" i="156"/>
  <c r="B40" i="156"/>
  <c r="A40" i="156"/>
  <c r="J39" i="156"/>
  <c r="H39" i="156"/>
  <c r="I39" i="156" s="1"/>
  <c r="E39" i="156"/>
  <c r="B39" i="156"/>
  <c r="A39" i="156"/>
  <c r="J38" i="156"/>
  <c r="H38" i="156"/>
  <c r="I38" i="156" s="1"/>
  <c r="E38" i="156"/>
  <c r="B38" i="156"/>
  <c r="A38" i="156"/>
  <c r="J37" i="156"/>
  <c r="H37" i="156"/>
  <c r="I37" i="156" s="1"/>
  <c r="E37" i="156"/>
  <c r="B37" i="156"/>
  <c r="A37" i="156"/>
  <c r="J36" i="156"/>
  <c r="H36" i="156"/>
  <c r="I36" i="156" s="1"/>
  <c r="E36" i="156"/>
  <c r="B36" i="156"/>
  <c r="A36" i="156"/>
  <c r="J35" i="156"/>
  <c r="H35" i="156"/>
  <c r="I35" i="156" s="1"/>
  <c r="E35" i="156"/>
  <c r="B35" i="156"/>
  <c r="A35" i="156"/>
  <c r="J34" i="156"/>
  <c r="H34" i="156"/>
  <c r="I34" i="156" s="1"/>
  <c r="E34" i="156"/>
  <c r="B34" i="156"/>
  <c r="A34" i="156"/>
  <c r="J33" i="156"/>
  <c r="H33" i="156"/>
  <c r="I33" i="156" s="1"/>
  <c r="E33" i="156"/>
  <c r="B33" i="156"/>
  <c r="A33" i="156"/>
  <c r="J32" i="156"/>
  <c r="H32" i="156"/>
  <c r="I32" i="156" s="1"/>
  <c r="E32" i="156"/>
  <c r="B32" i="156"/>
  <c r="A32" i="156"/>
  <c r="J31" i="156"/>
  <c r="H31" i="156"/>
  <c r="I31" i="156" s="1"/>
  <c r="E31" i="156"/>
  <c r="B31" i="156"/>
  <c r="A31" i="156"/>
  <c r="J30" i="156"/>
  <c r="H30" i="156"/>
  <c r="I30" i="156" s="1"/>
  <c r="E30" i="156"/>
  <c r="B30" i="156"/>
  <c r="A30" i="156"/>
  <c r="J29" i="156"/>
  <c r="H29" i="156"/>
  <c r="I29" i="156" s="1"/>
  <c r="E29" i="156"/>
  <c r="B29" i="156"/>
  <c r="A29" i="156"/>
  <c r="J28" i="156"/>
  <c r="H28" i="156"/>
  <c r="I28" i="156" s="1"/>
  <c r="E28" i="156"/>
  <c r="B28" i="156"/>
  <c r="A28" i="156"/>
  <c r="J27" i="156"/>
  <c r="H27" i="156"/>
  <c r="I27" i="156" s="1"/>
  <c r="E27" i="156"/>
  <c r="B27" i="156"/>
  <c r="A27" i="156"/>
  <c r="J26" i="156"/>
  <c r="H26" i="156"/>
  <c r="I26" i="156" s="1"/>
  <c r="E26" i="156"/>
  <c r="B26" i="156"/>
  <c r="A26" i="156"/>
  <c r="J25" i="156"/>
  <c r="H25" i="156"/>
  <c r="I25" i="156" s="1"/>
  <c r="E25" i="156"/>
  <c r="B25" i="156"/>
  <c r="A25" i="156"/>
  <c r="J24" i="156"/>
  <c r="H24" i="156"/>
  <c r="I24" i="156" s="1"/>
  <c r="E24" i="156"/>
  <c r="B24" i="156"/>
  <c r="A24" i="156"/>
  <c r="J23" i="156"/>
  <c r="H23" i="156"/>
  <c r="I23" i="156" s="1"/>
  <c r="E23" i="156"/>
  <c r="B23" i="156"/>
  <c r="A23" i="156"/>
  <c r="J22" i="156"/>
  <c r="H22" i="156"/>
  <c r="I22" i="156" s="1"/>
  <c r="E22" i="156"/>
  <c r="B22" i="156"/>
  <c r="A22" i="156"/>
  <c r="J21" i="156"/>
  <c r="H21" i="156"/>
  <c r="I21" i="156" s="1"/>
  <c r="E21" i="156"/>
  <c r="B21" i="156"/>
  <c r="A21" i="156"/>
  <c r="J20" i="156"/>
  <c r="H20" i="156"/>
  <c r="I20" i="156" s="1"/>
  <c r="E20" i="156"/>
  <c r="B20" i="156"/>
  <c r="A20" i="156"/>
  <c r="J19" i="156"/>
  <c r="H19" i="156"/>
  <c r="I19" i="156" s="1"/>
  <c r="E19" i="156"/>
  <c r="B19" i="156"/>
  <c r="A19" i="156"/>
  <c r="J18" i="156"/>
  <c r="H18" i="156"/>
  <c r="I18" i="156" s="1"/>
  <c r="E18" i="156"/>
  <c r="B18" i="156"/>
  <c r="A18" i="156"/>
  <c r="J17" i="156"/>
  <c r="H17" i="156"/>
  <c r="I17" i="156" s="1"/>
  <c r="E17" i="156"/>
  <c r="B17" i="156"/>
  <c r="A17" i="156"/>
  <c r="J16" i="156"/>
  <c r="H16" i="156"/>
  <c r="I16" i="156" s="1"/>
  <c r="E16" i="156"/>
  <c r="B16" i="156"/>
  <c r="A16" i="156"/>
  <c r="J15" i="156"/>
  <c r="H15" i="156"/>
  <c r="I15" i="156" s="1"/>
  <c r="E15" i="156"/>
  <c r="B15" i="156"/>
  <c r="A15" i="156"/>
  <c r="J14" i="156"/>
  <c r="H14" i="156"/>
  <c r="I14" i="156" s="1"/>
  <c r="E14" i="156"/>
  <c r="B14" i="156"/>
  <c r="A14" i="156"/>
  <c r="J13" i="156"/>
  <c r="H13" i="156"/>
  <c r="I13" i="156" s="1"/>
  <c r="E13" i="156"/>
  <c r="B13" i="156"/>
  <c r="A13" i="156"/>
  <c r="J12" i="156"/>
  <c r="H12" i="156"/>
  <c r="I12" i="156" s="1"/>
  <c r="E12" i="156"/>
  <c r="B12" i="156"/>
  <c r="A12" i="156"/>
  <c r="J11" i="156"/>
  <c r="H11" i="156"/>
  <c r="I11" i="156" s="1"/>
  <c r="E11" i="156"/>
  <c r="B11" i="156"/>
  <c r="A11" i="156"/>
  <c r="J10" i="156"/>
  <c r="H10" i="156"/>
  <c r="I10" i="156" s="1"/>
  <c r="E10" i="156"/>
  <c r="B10" i="156"/>
  <c r="A10" i="156"/>
  <c r="M5" i="156"/>
  <c r="L5" i="156"/>
  <c r="K5" i="156"/>
  <c r="J5" i="156"/>
  <c r="I5" i="156"/>
  <c r="H5" i="156"/>
  <c r="D1" i="156"/>
  <c r="A1" i="156"/>
  <c r="J41" i="155"/>
  <c r="H41" i="155"/>
  <c r="I41" i="155" s="1"/>
  <c r="E41" i="155"/>
  <c r="B41" i="155"/>
  <c r="A41" i="155"/>
  <c r="J40" i="155"/>
  <c r="H40" i="155"/>
  <c r="I40" i="155" s="1"/>
  <c r="E40" i="155"/>
  <c r="B40" i="155"/>
  <c r="A40" i="155"/>
  <c r="J39" i="155"/>
  <c r="I39" i="155"/>
  <c r="H39" i="155"/>
  <c r="E39" i="155"/>
  <c r="B39" i="155"/>
  <c r="A39" i="155"/>
  <c r="J38" i="155"/>
  <c r="H38" i="155"/>
  <c r="I38" i="155" s="1"/>
  <c r="E38" i="155"/>
  <c r="B38" i="155"/>
  <c r="A38" i="155"/>
  <c r="J37" i="155"/>
  <c r="H37" i="155"/>
  <c r="I37" i="155" s="1"/>
  <c r="E37" i="155"/>
  <c r="B37" i="155"/>
  <c r="A37" i="155"/>
  <c r="J36" i="155"/>
  <c r="H36" i="155"/>
  <c r="I36" i="155" s="1"/>
  <c r="E36" i="155"/>
  <c r="B36" i="155"/>
  <c r="A36" i="155"/>
  <c r="J35" i="155"/>
  <c r="H35" i="155"/>
  <c r="I35" i="155" s="1"/>
  <c r="E35" i="155"/>
  <c r="B35" i="155"/>
  <c r="A35" i="155"/>
  <c r="J34" i="155"/>
  <c r="H34" i="155"/>
  <c r="I34" i="155" s="1"/>
  <c r="E34" i="155"/>
  <c r="B34" i="155"/>
  <c r="A34" i="155"/>
  <c r="J33" i="155"/>
  <c r="H33" i="155"/>
  <c r="I33" i="155" s="1"/>
  <c r="E33" i="155"/>
  <c r="B33" i="155"/>
  <c r="A33" i="155"/>
  <c r="J32" i="155"/>
  <c r="H32" i="155"/>
  <c r="I32" i="155" s="1"/>
  <c r="E32" i="155"/>
  <c r="B32" i="155"/>
  <c r="A32" i="155"/>
  <c r="J31" i="155"/>
  <c r="H31" i="155"/>
  <c r="I31" i="155" s="1"/>
  <c r="E31" i="155"/>
  <c r="B31" i="155"/>
  <c r="A31" i="155"/>
  <c r="J30" i="155"/>
  <c r="H30" i="155"/>
  <c r="I30" i="155" s="1"/>
  <c r="E30" i="155"/>
  <c r="B30" i="155"/>
  <c r="A30" i="155"/>
  <c r="J29" i="155"/>
  <c r="H29" i="155"/>
  <c r="I29" i="155" s="1"/>
  <c r="E29" i="155"/>
  <c r="B29" i="155"/>
  <c r="A29" i="155"/>
  <c r="J28" i="155"/>
  <c r="H28" i="155"/>
  <c r="I28" i="155" s="1"/>
  <c r="E28" i="155"/>
  <c r="B28" i="155"/>
  <c r="A28" i="155"/>
  <c r="J27" i="155"/>
  <c r="H27" i="155"/>
  <c r="I27" i="155" s="1"/>
  <c r="E27" i="155"/>
  <c r="B27" i="155"/>
  <c r="A27" i="155"/>
  <c r="J26" i="155"/>
  <c r="H26" i="155"/>
  <c r="I26" i="155" s="1"/>
  <c r="E26" i="155"/>
  <c r="B26" i="155"/>
  <c r="A26" i="155"/>
  <c r="J25" i="155"/>
  <c r="H25" i="155"/>
  <c r="I25" i="155" s="1"/>
  <c r="E25" i="155"/>
  <c r="B25" i="155"/>
  <c r="A25" i="155"/>
  <c r="J24" i="155"/>
  <c r="H24" i="155"/>
  <c r="I24" i="155" s="1"/>
  <c r="E24" i="155"/>
  <c r="B24" i="155"/>
  <c r="A24" i="155"/>
  <c r="J23" i="155"/>
  <c r="I23" i="155"/>
  <c r="H23" i="155"/>
  <c r="E23" i="155"/>
  <c r="B23" i="155"/>
  <c r="A23" i="155"/>
  <c r="J22" i="155"/>
  <c r="H22" i="155"/>
  <c r="I22" i="155" s="1"/>
  <c r="E22" i="155"/>
  <c r="B22" i="155"/>
  <c r="A22" i="155"/>
  <c r="J21" i="155"/>
  <c r="H21" i="155"/>
  <c r="I21" i="155" s="1"/>
  <c r="E21" i="155"/>
  <c r="B21" i="155"/>
  <c r="A21" i="155"/>
  <c r="J20" i="155"/>
  <c r="H20" i="155"/>
  <c r="I20" i="155" s="1"/>
  <c r="E20" i="155"/>
  <c r="B20" i="155"/>
  <c r="A20" i="155"/>
  <c r="J19" i="155"/>
  <c r="H19" i="155"/>
  <c r="I19" i="155" s="1"/>
  <c r="E19" i="155"/>
  <c r="B19" i="155"/>
  <c r="A19" i="155"/>
  <c r="J18" i="155"/>
  <c r="H18" i="155"/>
  <c r="I18" i="155" s="1"/>
  <c r="E18" i="155"/>
  <c r="B18" i="155"/>
  <c r="A18" i="155"/>
  <c r="J17" i="155"/>
  <c r="H17" i="155"/>
  <c r="I17" i="155" s="1"/>
  <c r="E17" i="155"/>
  <c r="B17" i="155"/>
  <c r="A17" i="155"/>
  <c r="J16" i="155"/>
  <c r="H16" i="155"/>
  <c r="I16" i="155" s="1"/>
  <c r="E16" i="155"/>
  <c r="B16" i="155"/>
  <c r="A16" i="155"/>
  <c r="J15" i="155"/>
  <c r="H15" i="155"/>
  <c r="I15" i="155" s="1"/>
  <c r="E15" i="155"/>
  <c r="B15" i="155"/>
  <c r="A15" i="155"/>
  <c r="J14" i="155"/>
  <c r="H14" i="155"/>
  <c r="I14" i="155" s="1"/>
  <c r="E14" i="155"/>
  <c r="B14" i="155"/>
  <c r="A14" i="155"/>
  <c r="J13" i="155"/>
  <c r="H13" i="155"/>
  <c r="I13" i="155" s="1"/>
  <c r="E13" i="155"/>
  <c r="B13" i="155"/>
  <c r="A13" i="155"/>
  <c r="J12" i="155"/>
  <c r="H12" i="155"/>
  <c r="I12" i="155" s="1"/>
  <c r="E12" i="155"/>
  <c r="B12" i="155"/>
  <c r="A12" i="155"/>
  <c r="J11" i="155"/>
  <c r="H11" i="155"/>
  <c r="I11" i="155" s="1"/>
  <c r="E11" i="155"/>
  <c r="B11" i="155"/>
  <c r="A11" i="155"/>
  <c r="J10" i="155"/>
  <c r="H10" i="155"/>
  <c r="I10" i="155" s="1"/>
  <c r="E10" i="155"/>
  <c r="B10" i="155"/>
  <c r="A10" i="155"/>
  <c r="M5" i="155"/>
  <c r="L5" i="155"/>
  <c r="K5" i="155"/>
  <c r="J5" i="155"/>
  <c r="I5" i="155"/>
  <c r="H5" i="155"/>
  <c r="D1" i="155"/>
  <c r="A1" i="155"/>
  <c r="J41" i="154"/>
  <c r="H41" i="154"/>
  <c r="I41" i="154" s="1"/>
  <c r="E41" i="154"/>
  <c r="B41" i="154"/>
  <c r="A41" i="154"/>
  <c r="J40" i="154"/>
  <c r="H40" i="154"/>
  <c r="I40" i="154" s="1"/>
  <c r="E40" i="154"/>
  <c r="B40" i="154"/>
  <c r="A40" i="154"/>
  <c r="J39" i="154"/>
  <c r="H39" i="154"/>
  <c r="I39" i="154" s="1"/>
  <c r="E39" i="154"/>
  <c r="B39" i="154"/>
  <c r="A39" i="154"/>
  <c r="J38" i="154"/>
  <c r="H38" i="154"/>
  <c r="I38" i="154" s="1"/>
  <c r="E38" i="154"/>
  <c r="B38" i="154"/>
  <c r="A38" i="154"/>
  <c r="J37" i="154"/>
  <c r="H37" i="154"/>
  <c r="I37" i="154" s="1"/>
  <c r="E37" i="154"/>
  <c r="B37" i="154"/>
  <c r="A37" i="154"/>
  <c r="J36" i="154"/>
  <c r="H36" i="154"/>
  <c r="I36" i="154" s="1"/>
  <c r="E36" i="154"/>
  <c r="B36" i="154"/>
  <c r="A36" i="154"/>
  <c r="J35" i="154"/>
  <c r="H35" i="154"/>
  <c r="I35" i="154" s="1"/>
  <c r="E35" i="154"/>
  <c r="B35" i="154"/>
  <c r="A35" i="154"/>
  <c r="J34" i="154"/>
  <c r="H34" i="154"/>
  <c r="I34" i="154" s="1"/>
  <c r="E34" i="154"/>
  <c r="B34" i="154"/>
  <c r="A34" i="154"/>
  <c r="J33" i="154"/>
  <c r="H33" i="154"/>
  <c r="I33" i="154" s="1"/>
  <c r="E33" i="154"/>
  <c r="B33" i="154"/>
  <c r="A33" i="154"/>
  <c r="J32" i="154"/>
  <c r="H32" i="154"/>
  <c r="I32" i="154" s="1"/>
  <c r="E32" i="154"/>
  <c r="B32" i="154"/>
  <c r="A32" i="154"/>
  <c r="J31" i="154"/>
  <c r="H31" i="154"/>
  <c r="I31" i="154" s="1"/>
  <c r="E31" i="154"/>
  <c r="B31" i="154"/>
  <c r="A31" i="154"/>
  <c r="J30" i="154"/>
  <c r="H30" i="154"/>
  <c r="I30" i="154" s="1"/>
  <c r="E30" i="154"/>
  <c r="B30" i="154"/>
  <c r="A30" i="154"/>
  <c r="J29" i="154"/>
  <c r="H29" i="154"/>
  <c r="I29" i="154" s="1"/>
  <c r="E29" i="154"/>
  <c r="B29" i="154"/>
  <c r="A29" i="154"/>
  <c r="J28" i="154"/>
  <c r="H28" i="154"/>
  <c r="I28" i="154" s="1"/>
  <c r="E28" i="154"/>
  <c r="B28" i="154"/>
  <c r="A28" i="154"/>
  <c r="J27" i="154"/>
  <c r="H27" i="154"/>
  <c r="I27" i="154" s="1"/>
  <c r="E27" i="154"/>
  <c r="B27" i="154"/>
  <c r="A27" i="154"/>
  <c r="J26" i="154"/>
  <c r="H26" i="154"/>
  <c r="I26" i="154" s="1"/>
  <c r="E26" i="154"/>
  <c r="B26" i="154"/>
  <c r="A26" i="154"/>
  <c r="J25" i="154"/>
  <c r="H25" i="154"/>
  <c r="I25" i="154" s="1"/>
  <c r="E25" i="154"/>
  <c r="B25" i="154"/>
  <c r="A25" i="154"/>
  <c r="J24" i="154"/>
  <c r="H24" i="154"/>
  <c r="I24" i="154" s="1"/>
  <c r="E24" i="154"/>
  <c r="B24" i="154"/>
  <c r="A24" i="154"/>
  <c r="J23" i="154"/>
  <c r="H23" i="154"/>
  <c r="I23" i="154" s="1"/>
  <c r="E23" i="154"/>
  <c r="B23" i="154"/>
  <c r="A23" i="154"/>
  <c r="J22" i="154"/>
  <c r="H22" i="154"/>
  <c r="I22" i="154" s="1"/>
  <c r="E22" i="154"/>
  <c r="B22" i="154"/>
  <c r="A22" i="154"/>
  <c r="J21" i="154"/>
  <c r="H21" i="154"/>
  <c r="I21" i="154" s="1"/>
  <c r="E21" i="154"/>
  <c r="B21" i="154"/>
  <c r="A21" i="154"/>
  <c r="J20" i="154"/>
  <c r="H20" i="154"/>
  <c r="I20" i="154" s="1"/>
  <c r="E20" i="154"/>
  <c r="B20" i="154"/>
  <c r="A20" i="154"/>
  <c r="J19" i="154"/>
  <c r="H19" i="154"/>
  <c r="I19" i="154" s="1"/>
  <c r="E19" i="154"/>
  <c r="B19" i="154"/>
  <c r="A19" i="154"/>
  <c r="J18" i="154"/>
  <c r="H18" i="154"/>
  <c r="I18" i="154" s="1"/>
  <c r="E18" i="154"/>
  <c r="B18" i="154"/>
  <c r="A18" i="154"/>
  <c r="J17" i="154"/>
  <c r="H17" i="154"/>
  <c r="I17" i="154" s="1"/>
  <c r="E17" i="154"/>
  <c r="B17" i="154"/>
  <c r="A17" i="154"/>
  <c r="J16" i="154"/>
  <c r="H16" i="154"/>
  <c r="I16" i="154" s="1"/>
  <c r="E16" i="154"/>
  <c r="B16" i="154"/>
  <c r="A16" i="154"/>
  <c r="J15" i="154"/>
  <c r="H15" i="154"/>
  <c r="I15" i="154" s="1"/>
  <c r="E15" i="154"/>
  <c r="B15" i="154"/>
  <c r="A15" i="154"/>
  <c r="J14" i="154"/>
  <c r="H14" i="154"/>
  <c r="I14" i="154" s="1"/>
  <c r="E14" i="154"/>
  <c r="B14" i="154"/>
  <c r="A14" i="154"/>
  <c r="J13" i="154"/>
  <c r="H13" i="154"/>
  <c r="I13" i="154" s="1"/>
  <c r="E13" i="154"/>
  <c r="B13" i="154"/>
  <c r="A13" i="154"/>
  <c r="J12" i="154"/>
  <c r="H12" i="154"/>
  <c r="I12" i="154" s="1"/>
  <c r="E12" i="154"/>
  <c r="B12" i="154"/>
  <c r="A12" i="154"/>
  <c r="J11" i="154"/>
  <c r="H11" i="154"/>
  <c r="I11" i="154" s="1"/>
  <c r="E11" i="154"/>
  <c r="B11" i="154"/>
  <c r="A11" i="154"/>
  <c r="J10" i="154"/>
  <c r="H10" i="154"/>
  <c r="I10" i="154" s="1"/>
  <c r="E10" i="154"/>
  <c r="B10" i="154"/>
  <c r="A10" i="154"/>
  <c r="M5" i="154"/>
  <c r="L5" i="154"/>
  <c r="K5" i="154"/>
  <c r="J5" i="154"/>
  <c r="I5" i="154"/>
  <c r="H5" i="154"/>
  <c r="D1" i="154"/>
  <c r="A1" i="154"/>
  <c r="J41" i="153"/>
  <c r="H41" i="153"/>
  <c r="I41" i="153" s="1"/>
  <c r="E41" i="153"/>
  <c r="B41" i="153"/>
  <c r="A41" i="153"/>
  <c r="J40" i="153"/>
  <c r="H40" i="153"/>
  <c r="I40" i="153" s="1"/>
  <c r="E40" i="153"/>
  <c r="B40" i="153"/>
  <c r="A40" i="153"/>
  <c r="J39" i="153"/>
  <c r="H39" i="153"/>
  <c r="I39" i="153" s="1"/>
  <c r="E39" i="153"/>
  <c r="B39" i="153"/>
  <c r="A39" i="153"/>
  <c r="J38" i="153"/>
  <c r="H38" i="153"/>
  <c r="I38" i="153" s="1"/>
  <c r="E38" i="153"/>
  <c r="B38" i="153"/>
  <c r="A38" i="153"/>
  <c r="J37" i="153"/>
  <c r="H37" i="153"/>
  <c r="I37" i="153" s="1"/>
  <c r="E37" i="153"/>
  <c r="B37" i="153"/>
  <c r="A37" i="153"/>
  <c r="J36" i="153"/>
  <c r="H36" i="153"/>
  <c r="I36" i="153" s="1"/>
  <c r="E36" i="153"/>
  <c r="B36" i="153"/>
  <c r="A36" i="153"/>
  <c r="J35" i="153"/>
  <c r="H35" i="153"/>
  <c r="I35" i="153" s="1"/>
  <c r="E35" i="153"/>
  <c r="B35" i="153"/>
  <c r="A35" i="153"/>
  <c r="J34" i="153"/>
  <c r="H34" i="153"/>
  <c r="I34" i="153" s="1"/>
  <c r="E34" i="153"/>
  <c r="B34" i="153"/>
  <c r="A34" i="153"/>
  <c r="J33" i="153"/>
  <c r="H33" i="153"/>
  <c r="I33" i="153" s="1"/>
  <c r="E33" i="153"/>
  <c r="B33" i="153"/>
  <c r="A33" i="153"/>
  <c r="J32" i="153"/>
  <c r="H32" i="153"/>
  <c r="I32" i="153" s="1"/>
  <c r="E32" i="153"/>
  <c r="B32" i="153"/>
  <c r="A32" i="153"/>
  <c r="J31" i="153"/>
  <c r="H31" i="153"/>
  <c r="I31" i="153" s="1"/>
  <c r="E31" i="153"/>
  <c r="B31" i="153"/>
  <c r="A31" i="153"/>
  <c r="C31" i="153" s="1"/>
  <c r="J30" i="153"/>
  <c r="H30" i="153"/>
  <c r="I30" i="153" s="1"/>
  <c r="E30" i="153"/>
  <c r="B30" i="153"/>
  <c r="A30" i="153"/>
  <c r="J29" i="153"/>
  <c r="H29" i="153"/>
  <c r="I29" i="153" s="1"/>
  <c r="E29" i="153"/>
  <c r="B29" i="153"/>
  <c r="A29" i="153"/>
  <c r="J28" i="153"/>
  <c r="H28" i="153"/>
  <c r="I28" i="153" s="1"/>
  <c r="E28" i="153"/>
  <c r="B28" i="153"/>
  <c r="A28" i="153"/>
  <c r="J27" i="153"/>
  <c r="H27" i="153"/>
  <c r="I27" i="153" s="1"/>
  <c r="E27" i="153"/>
  <c r="B27" i="153"/>
  <c r="A27" i="153"/>
  <c r="J26" i="153"/>
  <c r="H26" i="153"/>
  <c r="I26" i="153" s="1"/>
  <c r="E26" i="153"/>
  <c r="B26" i="153"/>
  <c r="A26" i="153"/>
  <c r="J25" i="153"/>
  <c r="H25" i="153"/>
  <c r="I25" i="153" s="1"/>
  <c r="E25" i="153"/>
  <c r="B25" i="153"/>
  <c r="A25" i="153"/>
  <c r="J24" i="153"/>
  <c r="H24" i="153"/>
  <c r="I24" i="153" s="1"/>
  <c r="E24" i="153"/>
  <c r="B24" i="153"/>
  <c r="A24" i="153"/>
  <c r="J23" i="153"/>
  <c r="H23" i="153"/>
  <c r="I23" i="153" s="1"/>
  <c r="E23" i="153"/>
  <c r="B23" i="153"/>
  <c r="A23" i="153"/>
  <c r="J22" i="153"/>
  <c r="I22" i="153"/>
  <c r="H22" i="153"/>
  <c r="E22" i="153"/>
  <c r="B22" i="153"/>
  <c r="A22" i="153"/>
  <c r="J21" i="153"/>
  <c r="H21" i="153"/>
  <c r="I21" i="153" s="1"/>
  <c r="E21" i="153"/>
  <c r="B21" i="153"/>
  <c r="A21" i="153"/>
  <c r="J20" i="153"/>
  <c r="H20" i="153"/>
  <c r="I20" i="153" s="1"/>
  <c r="E20" i="153"/>
  <c r="B20" i="153"/>
  <c r="A20" i="153"/>
  <c r="J19" i="153"/>
  <c r="H19" i="153"/>
  <c r="I19" i="153" s="1"/>
  <c r="E19" i="153"/>
  <c r="B19" i="153"/>
  <c r="A19" i="153"/>
  <c r="J18" i="153"/>
  <c r="H18" i="153"/>
  <c r="I18" i="153" s="1"/>
  <c r="E18" i="153"/>
  <c r="B18" i="153"/>
  <c r="A18" i="153"/>
  <c r="J17" i="153"/>
  <c r="H17" i="153"/>
  <c r="I17" i="153" s="1"/>
  <c r="E17" i="153"/>
  <c r="B17" i="153"/>
  <c r="A17" i="153"/>
  <c r="J16" i="153"/>
  <c r="H16" i="153"/>
  <c r="I16" i="153" s="1"/>
  <c r="E16" i="153"/>
  <c r="B16" i="153"/>
  <c r="A16" i="153"/>
  <c r="J15" i="153"/>
  <c r="H15" i="153"/>
  <c r="I15" i="153" s="1"/>
  <c r="E15" i="153"/>
  <c r="B15" i="153"/>
  <c r="A15" i="153"/>
  <c r="J14" i="153"/>
  <c r="H14" i="153"/>
  <c r="I14" i="153" s="1"/>
  <c r="E14" i="153"/>
  <c r="B14" i="153"/>
  <c r="A14" i="153"/>
  <c r="J13" i="153"/>
  <c r="H13" i="153"/>
  <c r="I13" i="153" s="1"/>
  <c r="E13" i="153"/>
  <c r="B13" i="153"/>
  <c r="A13" i="153"/>
  <c r="J12" i="153"/>
  <c r="H12" i="153"/>
  <c r="I12" i="153" s="1"/>
  <c r="E12" i="153"/>
  <c r="B12" i="153"/>
  <c r="A12" i="153"/>
  <c r="J11" i="153"/>
  <c r="H11" i="153"/>
  <c r="I11" i="153" s="1"/>
  <c r="E11" i="153"/>
  <c r="B11" i="153"/>
  <c r="A11" i="153"/>
  <c r="J10" i="153"/>
  <c r="H10" i="153"/>
  <c r="I10" i="153" s="1"/>
  <c r="E10" i="153"/>
  <c r="B10" i="153"/>
  <c r="A10" i="153"/>
  <c r="M5" i="153"/>
  <c r="L5" i="153"/>
  <c r="K5" i="153"/>
  <c r="J5" i="153"/>
  <c r="I5" i="153"/>
  <c r="H5" i="153"/>
  <c r="D1" i="153"/>
  <c r="A1" i="153"/>
  <c r="J41" i="152"/>
  <c r="H41" i="152"/>
  <c r="I41" i="152" s="1"/>
  <c r="E41" i="152"/>
  <c r="B41" i="152"/>
  <c r="A41" i="152"/>
  <c r="C41" i="152" s="1"/>
  <c r="J40" i="152"/>
  <c r="H40" i="152"/>
  <c r="I40" i="152" s="1"/>
  <c r="E40" i="152"/>
  <c r="B40" i="152"/>
  <c r="A40" i="152"/>
  <c r="J39" i="152"/>
  <c r="H39" i="152"/>
  <c r="I39" i="152" s="1"/>
  <c r="E39" i="152"/>
  <c r="B39" i="152"/>
  <c r="A39" i="152"/>
  <c r="J38" i="152"/>
  <c r="H38" i="152"/>
  <c r="I38" i="152" s="1"/>
  <c r="E38" i="152"/>
  <c r="B38" i="152"/>
  <c r="A38" i="152"/>
  <c r="J37" i="152"/>
  <c r="H37" i="152"/>
  <c r="I37" i="152" s="1"/>
  <c r="E37" i="152"/>
  <c r="B37" i="152"/>
  <c r="A37" i="152"/>
  <c r="J36" i="152"/>
  <c r="H36" i="152"/>
  <c r="I36" i="152" s="1"/>
  <c r="E36" i="152"/>
  <c r="B36" i="152"/>
  <c r="A36" i="152"/>
  <c r="J35" i="152"/>
  <c r="H35" i="152"/>
  <c r="I35" i="152" s="1"/>
  <c r="E35" i="152"/>
  <c r="B35" i="152"/>
  <c r="A35" i="152"/>
  <c r="J34" i="152"/>
  <c r="H34" i="152"/>
  <c r="I34" i="152" s="1"/>
  <c r="E34" i="152"/>
  <c r="B34" i="152"/>
  <c r="A34" i="152"/>
  <c r="J33" i="152"/>
  <c r="H33" i="152"/>
  <c r="I33" i="152" s="1"/>
  <c r="E33" i="152"/>
  <c r="B33" i="152"/>
  <c r="A33" i="152"/>
  <c r="J32" i="152"/>
  <c r="H32" i="152"/>
  <c r="I32" i="152" s="1"/>
  <c r="E32" i="152"/>
  <c r="B32" i="152"/>
  <c r="A32" i="152"/>
  <c r="J31" i="152"/>
  <c r="H31" i="152"/>
  <c r="I31" i="152" s="1"/>
  <c r="E31" i="152"/>
  <c r="B31" i="152"/>
  <c r="A31" i="152"/>
  <c r="J30" i="152"/>
  <c r="H30" i="152"/>
  <c r="I30" i="152" s="1"/>
  <c r="E30" i="152"/>
  <c r="B30" i="152"/>
  <c r="A30" i="152"/>
  <c r="J29" i="152"/>
  <c r="H29" i="152"/>
  <c r="I29" i="152" s="1"/>
  <c r="E29" i="152"/>
  <c r="B29" i="152"/>
  <c r="A29" i="152"/>
  <c r="J28" i="152"/>
  <c r="H28" i="152"/>
  <c r="I28" i="152" s="1"/>
  <c r="E28" i="152"/>
  <c r="B28" i="152"/>
  <c r="A28" i="152"/>
  <c r="J27" i="152"/>
  <c r="H27" i="152"/>
  <c r="I27" i="152" s="1"/>
  <c r="E27" i="152"/>
  <c r="B27" i="152"/>
  <c r="A27" i="152"/>
  <c r="J26" i="152"/>
  <c r="H26" i="152"/>
  <c r="I26" i="152" s="1"/>
  <c r="E26" i="152"/>
  <c r="B26" i="152"/>
  <c r="A26" i="152"/>
  <c r="J25" i="152"/>
  <c r="H25" i="152"/>
  <c r="I25" i="152" s="1"/>
  <c r="E25" i="152"/>
  <c r="B25" i="152"/>
  <c r="A25" i="152"/>
  <c r="J24" i="152"/>
  <c r="H24" i="152"/>
  <c r="I24" i="152" s="1"/>
  <c r="E24" i="152"/>
  <c r="B24" i="152"/>
  <c r="A24" i="152"/>
  <c r="J23" i="152"/>
  <c r="H23" i="152"/>
  <c r="I23" i="152" s="1"/>
  <c r="E23" i="152"/>
  <c r="B23" i="152"/>
  <c r="A23" i="152"/>
  <c r="J22" i="152"/>
  <c r="H22" i="152"/>
  <c r="I22" i="152" s="1"/>
  <c r="E22" i="152"/>
  <c r="B22" i="152"/>
  <c r="A22" i="152"/>
  <c r="J21" i="152"/>
  <c r="H21" i="152"/>
  <c r="I21" i="152" s="1"/>
  <c r="E21" i="152"/>
  <c r="B21" i="152"/>
  <c r="A21" i="152"/>
  <c r="J20" i="152"/>
  <c r="H20" i="152"/>
  <c r="I20" i="152" s="1"/>
  <c r="E20" i="152"/>
  <c r="B20" i="152"/>
  <c r="A20" i="152"/>
  <c r="J19" i="152"/>
  <c r="H19" i="152"/>
  <c r="I19" i="152" s="1"/>
  <c r="E19" i="152"/>
  <c r="B19" i="152"/>
  <c r="A19" i="152"/>
  <c r="J18" i="152"/>
  <c r="H18" i="152"/>
  <c r="I18" i="152" s="1"/>
  <c r="E18" i="152"/>
  <c r="B18" i="152"/>
  <c r="A18" i="152"/>
  <c r="J17" i="152"/>
  <c r="H17" i="152"/>
  <c r="I17" i="152" s="1"/>
  <c r="E17" i="152"/>
  <c r="B17" i="152"/>
  <c r="A17" i="152"/>
  <c r="J16" i="152"/>
  <c r="H16" i="152"/>
  <c r="I16" i="152" s="1"/>
  <c r="E16" i="152"/>
  <c r="B16" i="152"/>
  <c r="A16" i="152"/>
  <c r="J15" i="152"/>
  <c r="H15" i="152"/>
  <c r="I15" i="152" s="1"/>
  <c r="E15" i="152"/>
  <c r="B15" i="152"/>
  <c r="A15" i="152"/>
  <c r="J14" i="152"/>
  <c r="H14" i="152"/>
  <c r="I14" i="152" s="1"/>
  <c r="E14" i="152"/>
  <c r="B14" i="152"/>
  <c r="A14" i="152"/>
  <c r="J13" i="152"/>
  <c r="H13" i="152"/>
  <c r="I13" i="152" s="1"/>
  <c r="E13" i="152"/>
  <c r="B13" i="152"/>
  <c r="A13" i="152"/>
  <c r="J12" i="152"/>
  <c r="H12" i="152"/>
  <c r="I12" i="152" s="1"/>
  <c r="E12" i="152"/>
  <c r="B12" i="152"/>
  <c r="A12" i="152"/>
  <c r="J11" i="152"/>
  <c r="H11" i="152"/>
  <c r="I11" i="152" s="1"/>
  <c r="E11" i="152"/>
  <c r="B11" i="152"/>
  <c r="A11" i="152"/>
  <c r="J10" i="152"/>
  <c r="H10" i="152"/>
  <c r="I10" i="152" s="1"/>
  <c r="E10" i="152"/>
  <c r="B10" i="152"/>
  <c r="A10" i="152"/>
  <c r="M5" i="152"/>
  <c r="L5" i="152"/>
  <c r="K5" i="152"/>
  <c r="J5" i="152"/>
  <c r="I5" i="152"/>
  <c r="H5" i="152"/>
  <c r="D1" i="152"/>
  <c r="A1" i="152"/>
  <c r="C24" i="152" s="1"/>
  <c r="J41" i="151"/>
  <c r="H41" i="151"/>
  <c r="I41" i="151" s="1"/>
  <c r="E41" i="151"/>
  <c r="B41" i="151"/>
  <c r="A41" i="151"/>
  <c r="J40" i="151"/>
  <c r="H40" i="151"/>
  <c r="I40" i="151" s="1"/>
  <c r="E40" i="151"/>
  <c r="B40" i="151"/>
  <c r="A40" i="151"/>
  <c r="J39" i="151"/>
  <c r="H39" i="151"/>
  <c r="I39" i="151" s="1"/>
  <c r="E39" i="151"/>
  <c r="B39" i="151"/>
  <c r="A39" i="151"/>
  <c r="J38" i="151"/>
  <c r="H38" i="151"/>
  <c r="I38" i="151" s="1"/>
  <c r="E38" i="151"/>
  <c r="B38" i="151"/>
  <c r="A38" i="151"/>
  <c r="J37" i="151"/>
  <c r="H37" i="151"/>
  <c r="I37" i="151" s="1"/>
  <c r="E37" i="151"/>
  <c r="B37" i="151"/>
  <c r="A37" i="151"/>
  <c r="J36" i="151"/>
  <c r="H36" i="151"/>
  <c r="I36" i="151" s="1"/>
  <c r="E36" i="151"/>
  <c r="B36" i="151"/>
  <c r="A36" i="151"/>
  <c r="J35" i="151"/>
  <c r="H35" i="151"/>
  <c r="I35" i="151" s="1"/>
  <c r="E35" i="151"/>
  <c r="B35" i="151"/>
  <c r="A35" i="151"/>
  <c r="J34" i="151"/>
  <c r="H34" i="151"/>
  <c r="I34" i="151" s="1"/>
  <c r="E34" i="151"/>
  <c r="B34" i="151"/>
  <c r="A34" i="151"/>
  <c r="J33" i="151"/>
  <c r="H33" i="151"/>
  <c r="I33" i="151" s="1"/>
  <c r="E33" i="151"/>
  <c r="B33" i="151"/>
  <c r="A33" i="151"/>
  <c r="J32" i="151"/>
  <c r="H32" i="151"/>
  <c r="I32" i="151" s="1"/>
  <c r="E32" i="151"/>
  <c r="B32" i="151"/>
  <c r="A32" i="151"/>
  <c r="J31" i="151"/>
  <c r="H31" i="151"/>
  <c r="I31" i="151" s="1"/>
  <c r="E31" i="151"/>
  <c r="B31" i="151"/>
  <c r="A31" i="151"/>
  <c r="J30" i="151"/>
  <c r="H30" i="151"/>
  <c r="I30" i="151" s="1"/>
  <c r="E30" i="151"/>
  <c r="B30" i="151"/>
  <c r="A30" i="151"/>
  <c r="J29" i="151"/>
  <c r="H29" i="151"/>
  <c r="I29" i="151" s="1"/>
  <c r="E29" i="151"/>
  <c r="B29" i="151"/>
  <c r="A29" i="151"/>
  <c r="J28" i="151"/>
  <c r="H28" i="151"/>
  <c r="I28" i="151" s="1"/>
  <c r="E28" i="151"/>
  <c r="B28" i="151"/>
  <c r="A28" i="151"/>
  <c r="J27" i="151"/>
  <c r="H27" i="151"/>
  <c r="I27" i="151" s="1"/>
  <c r="E27" i="151"/>
  <c r="B27" i="151"/>
  <c r="A27" i="151"/>
  <c r="C27" i="151" s="1"/>
  <c r="J26" i="151"/>
  <c r="H26" i="151"/>
  <c r="I26" i="151" s="1"/>
  <c r="E26" i="151"/>
  <c r="B26" i="151"/>
  <c r="A26" i="151"/>
  <c r="J25" i="151"/>
  <c r="H25" i="151"/>
  <c r="I25" i="151" s="1"/>
  <c r="E25" i="151"/>
  <c r="B25" i="151"/>
  <c r="A25" i="151"/>
  <c r="J24" i="151"/>
  <c r="H24" i="151"/>
  <c r="I24" i="151" s="1"/>
  <c r="E24" i="151"/>
  <c r="B24" i="151"/>
  <c r="A24" i="151"/>
  <c r="J23" i="151"/>
  <c r="H23" i="151"/>
  <c r="I23" i="151" s="1"/>
  <c r="E23" i="151"/>
  <c r="B23" i="151"/>
  <c r="A23" i="151"/>
  <c r="J22" i="151"/>
  <c r="H22" i="151"/>
  <c r="I22" i="151" s="1"/>
  <c r="E22" i="151"/>
  <c r="B22" i="151"/>
  <c r="A22" i="151"/>
  <c r="J21" i="151"/>
  <c r="H21" i="151"/>
  <c r="I21" i="151" s="1"/>
  <c r="E21" i="151"/>
  <c r="B21" i="151"/>
  <c r="A21" i="151"/>
  <c r="J20" i="151"/>
  <c r="H20" i="151"/>
  <c r="I20" i="151" s="1"/>
  <c r="E20" i="151"/>
  <c r="B20" i="151"/>
  <c r="A20" i="151"/>
  <c r="J19" i="151"/>
  <c r="H19" i="151"/>
  <c r="I19" i="151" s="1"/>
  <c r="E19" i="151"/>
  <c r="B19" i="151"/>
  <c r="A19" i="151"/>
  <c r="J18" i="151"/>
  <c r="H18" i="151"/>
  <c r="I18" i="151" s="1"/>
  <c r="E18" i="151"/>
  <c r="B18" i="151"/>
  <c r="A18" i="151"/>
  <c r="J17" i="151"/>
  <c r="H17" i="151"/>
  <c r="I17" i="151" s="1"/>
  <c r="E17" i="151"/>
  <c r="B17" i="151"/>
  <c r="A17" i="151"/>
  <c r="J16" i="151"/>
  <c r="H16" i="151"/>
  <c r="I16" i="151" s="1"/>
  <c r="E16" i="151"/>
  <c r="B16" i="151"/>
  <c r="A16" i="151"/>
  <c r="J15" i="151"/>
  <c r="H15" i="151"/>
  <c r="I15" i="151" s="1"/>
  <c r="E15" i="151"/>
  <c r="B15" i="151"/>
  <c r="A15" i="151"/>
  <c r="J14" i="151"/>
  <c r="H14" i="151"/>
  <c r="I14" i="151" s="1"/>
  <c r="E14" i="151"/>
  <c r="B14" i="151"/>
  <c r="A14" i="151"/>
  <c r="J13" i="151"/>
  <c r="H13" i="151"/>
  <c r="I13" i="151" s="1"/>
  <c r="E13" i="151"/>
  <c r="B13" i="151"/>
  <c r="A13" i="151"/>
  <c r="J12" i="151"/>
  <c r="H12" i="151"/>
  <c r="I12" i="151" s="1"/>
  <c r="E12" i="151"/>
  <c r="B12" i="151"/>
  <c r="A12" i="151"/>
  <c r="J11" i="151"/>
  <c r="H11" i="151"/>
  <c r="I11" i="151" s="1"/>
  <c r="E11" i="151"/>
  <c r="B11" i="151"/>
  <c r="A11" i="151"/>
  <c r="J10" i="151"/>
  <c r="H10" i="151"/>
  <c r="I10" i="151" s="1"/>
  <c r="E10" i="151"/>
  <c r="B10" i="151"/>
  <c r="A10" i="151"/>
  <c r="M5" i="151"/>
  <c r="L5" i="151"/>
  <c r="K5" i="151"/>
  <c r="J5" i="151"/>
  <c r="I5" i="151"/>
  <c r="H5" i="151"/>
  <c r="D1" i="151"/>
  <c r="A1" i="151"/>
  <c r="J41" i="150"/>
  <c r="H41" i="150"/>
  <c r="I41" i="150" s="1"/>
  <c r="E41" i="150"/>
  <c r="B41" i="150"/>
  <c r="A41" i="150"/>
  <c r="J40" i="150"/>
  <c r="H40" i="150"/>
  <c r="I40" i="150" s="1"/>
  <c r="E40" i="150"/>
  <c r="B40" i="150"/>
  <c r="A40" i="150"/>
  <c r="J39" i="150"/>
  <c r="H39" i="150"/>
  <c r="I39" i="150" s="1"/>
  <c r="E39" i="150"/>
  <c r="B39" i="150"/>
  <c r="A39" i="150"/>
  <c r="J38" i="150"/>
  <c r="H38" i="150"/>
  <c r="I38" i="150" s="1"/>
  <c r="E38" i="150"/>
  <c r="B38" i="150"/>
  <c r="A38" i="150"/>
  <c r="J37" i="150"/>
  <c r="H37" i="150"/>
  <c r="I37" i="150" s="1"/>
  <c r="E37" i="150"/>
  <c r="B37" i="150"/>
  <c r="A37" i="150"/>
  <c r="J36" i="150"/>
  <c r="H36" i="150"/>
  <c r="I36" i="150" s="1"/>
  <c r="E36" i="150"/>
  <c r="B36" i="150"/>
  <c r="A36" i="150"/>
  <c r="J35" i="150"/>
  <c r="H35" i="150"/>
  <c r="I35" i="150" s="1"/>
  <c r="E35" i="150"/>
  <c r="B35" i="150"/>
  <c r="A35" i="150"/>
  <c r="J34" i="150"/>
  <c r="H34" i="150"/>
  <c r="I34" i="150" s="1"/>
  <c r="E34" i="150"/>
  <c r="B34" i="150"/>
  <c r="A34" i="150"/>
  <c r="J33" i="150"/>
  <c r="H33" i="150"/>
  <c r="I33" i="150" s="1"/>
  <c r="E33" i="150"/>
  <c r="B33" i="150"/>
  <c r="A33" i="150"/>
  <c r="J32" i="150"/>
  <c r="H32" i="150"/>
  <c r="I32" i="150" s="1"/>
  <c r="E32" i="150"/>
  <c r="B32" i="150"/>
  <c r="A32" i="150"/>
  <c r="J31" i="150"/>
  <c r="H31" i="150"/>
  <c r="I31" i="150" s="1"/>
  <c r="E31" i="150"/>
  <c r="B31" i="150"/>
  <c r="A31" i="150"/>
  <c r="J30" i="150"/>
  <c r="H30" i="150"/>
  <c r="I30" i="150" s="1"/>
  <c r="E30" i="150"/>
  <c r="B30" i="150"/>
  <c r="A30" i="150"/>
  <c r="J29" i="150"/>
  <c r="H29" i="150"/>
  <c r="I29" i="150" s="1"/>
  <c r="E29" i="150"/>
  <c r="B29" i="150"/>
  <c r="A29" i="150"/>
  <c r="J28" i="150"/>
  <c r="H28" i="150"/>
  <c r="I28" i="150" s="1"/>
  <c r="E28" i="150"/>
  <c r="B28" i="150"/>
  <c r="A28" i="150"/>
  <c r="J27" i="150"/>
  <c r="H27" i="150"/>
  <c r="I27" i="150" s="1"/>
  <c r="E27" i="150"/>
  <c r="B27" i="150"/>
  <c r="A27" i="150"/>
  <c r="J26" i="150"/>
  <c r="H26" i="150"/>
  <c r="I26" i="150" s="1"/>
  <c r="E26" i="150"/>
  <c r="B26" i="150"/>
  <c r="A26" i="150"/>
  <c r="J25" i="150"/>
  <c r="H25" i="150"/>
  <c r="I25" i="150" s="1"/>
  <c r="E25" i="150"/>
  <c r="B25" i="150"/>
  <c r="A25" i="150"/>
  <c r="J24" i="150"/>
  <c r="H24" i="150"/>
  <c r="I24" i="150" s="1"/>
  <c r="E24" i="150"/>
  <c r="B24" i="150"/>
  <c r="A24" i="150"/>
  <c r="J23" i="150"/>
  <c r="H23" i="150"/>
  <c r="I23" i="150" s="1"/>
  <c r="E23" i="150"/>
  <c r="B23" i="150"/>
  <c r="A23" i="150"/>
  <c r="J22" i="150"/>
  <c r="H22" i="150"/>
  <c r="I22" i="150" s="1"/>
  <c r="E22" i="150"/>
  <c r="B22" i="150"/>
  <c r="A22" i="150"/>
  <c r="J21" i="150"/>
  <c r="H21" i="150"/>
  <c r="I21" i="150" s="1"/>
  <c r="E21" i="150"/>
  <c r="B21" i="150"/>
  <c r="A21" i="150"/>
  <c r="J20" i="150"/>
  <c r="H20" i="150"/>
  <c r="I20" i="150" s="1"/>
  <c r="E20" i="150"/>
  <c r="B20" i="150"/>
  <c r="A20" i="150"/>
  <c r="J19" i="150"/>
  <c r="H19" i="150"/>
  <c r="I19" i="150" s="1"/>
  <c r="E19" i="150"/>
  <c r="B19" i="150"/>
  <c r="A19" i="150"/>
  <c r="J18" i="150"/>
  <c r="H18" i="150"/>
  <c r="I18" i="150" s="1"/>
  <c r="E18" i="150"/>
  <c r="B18" i="150"/>
  <c r="A18" i="150"/>
  <c r="J17" i="150"/>
  <c r="H17" i="150"/>
  <c r="I17" i="150" s="1"/>
  <c r="E17" i="150"/>
  <c r="B17" i="150"/>
  <c r="A17" i="150"/>
  <c r="J16" i="150"/>
  <c r="H16" i="150"/>
  <c r="I16" i="150" s="1"/>
  <c r="E16" i="150"/>
  <c r="B16" i="150"/>
  <c r="A16" i="150"/>
  <c r="J15" i="150"/>
  <c r="H15" i="150"/>
  <c r="I15" i="150" s="1"/>
  <c r="E15" i="150"/>
  <c r="B15" i="150"/>
  <c r="A15" i="150"/>
  <c r="J14" i="150"/>
  <c r="H14" i="150"/>
  <c r="I14" i="150" s="1"/>
  <c r="E14" i="150"/>
  <c r="B14" i="150"/>
  <c r="A14" i="150"/>
  <c r="J13" i="150"/>
  <c r="H13" i="150"/>
  <c r="I13" i="150" s="1"/>
  <c r="E13" i="150"/>
  <c r="B13" i="150"/>
  <c r="A13" i="150"/>
  <c r="J12" i="150"/>
  <c r="H12" i="150"/>
  <c r="I12" i="150" s="1"/>
  <c r="E12" i="150"/>
  <c r="B12" i="150"/>
  <c r="A12" i="150"/>
  <c r="J11" i="150"/>
  <c r="H11" i="150"/>
  <c r="I11" i="150" s="1"/>
  <c r="E11" i="150"/>
  <c r="B11" i="150"/>
  <c r="A11" i="150"/>
  <c r="J10" i="150"/>
  <c r="H10" i="150"/>
  <c r="I10" i="150" s="1"/>
  <c r="E10" i="150"/>
  <c r="B10" i="150"/>
  <c r="A10" i="150"/>
  <c r="M5" i="150"/>
  <c r="L5" i="150"/>
  <c r="K5" i="150"/>
  <c r="J5" i="150"/>
  <c r="I5" i="150"/>
  <c r="H5" i="150"/>
  <c r="D1" i="150"/>
  <c r="A1" i="150"/>
  <c r="J41" i="149"/>
  <c r="H41" i="149"/>
  <c r="I41" i="149" s="1"/>
  <c r="E41" i="149"/>
  <c r="B41" i="149"/>
  <c r="A41" i="149"/>
  <c r="J40" i="149"/>
  <c r="H40" i="149"/>
  <c r="I40" i="149" s="1"/>
  <c r="E40" i="149"/>
  <c r="B40" i="149"/>
  <c r="A40" i="149"/>
  <c r="J39" i="149"/>
  <c r="H39" i="149"/>
  <c r="I39" i="149" s="1"/>
  <c r="E39" i="149"/>
  <c r="B39" i="149"/>
  <c r="A39" i="149"/>
  <c r="J38" i="149"/>
  <c r="H38" i="149"/>
  <c r="I38" i="149" s="1"/>
  <c r="E38" i="149"/>
  <c r="B38" i="149"/>
  <c r="A38" i="149"/>
  <c r="J37" i="149"/>
  <c r="H37" i="149"/>
  <c r="I37" i="149" s="1"/>
  <c r="E37" i="149"/>
  <c r="B37" i="149"/>
  <c r="A37" i="149"/>
  <c r="J36" i="149"/>
  <c r="H36" i="149"/>
  <c r="I36" i="149" s="1"/>
  <c r="E36" i="149"/>
  <c r="B36" i="149"/>
  <c r="A36" i="149"/>
  <c r="J35" i="149"/>
  <c r="H35" i="149"/>
  <c r="I35" i="149" s="1"/>
  <c r="E35" i="149"/>
  <c r="B35" i="149"/>
  <c r="A35" i="149"/>
  <c r="J34" i="149"/>
  <c r="H34" i="149"/>
  <c r="I34" i="149" s="1"/>
  <c r="E34" i="149"/>
  <c r="B34" i="149"/>
  <c r="A34" i="149"/>
  <c r="J33" i="149"/>
  <c r="H33" i="149"/>
  <c r="I33" i="149" s="1"/>
  <c r="E33" i="149"/>
  <c r="B33" i="149"/>
  <c r="A33" i="149"/>
  <c r="J32" i="149"/>
  <c r="H32" i="149"/>
  <c r="I32" i="149" s="1"/>
  <c r="E32" i="149"/>
  <c r="B32" i="149"/>
  <c r="A32" i="149"/>
  <c r="J31" i="149"/>
  <c r="H31" i="149"/>
  <c r="I31" i="149" s="1"/>
  <c r="E31" i="149"/>
  <c r="B31" i="149"/>
  <c r="A31" i="149"/>
  <c r="J30" i="149"/>
  <c r="H30" i="149"/>
  <c r="I30" i="149" s="1"/>
  <c r="E30" i="149"/>
  <c r="B30" i="149"/>
  <c r="A30" i="149"/>
  <c r="J29" i="149"/>
  <c r="H29" i="149"/>
  <c r="I29" i="149" s="1"/>
  <c r="E29" i="149"/>
  <c r="B29" i="149"/>
  <c r="A29" i="149"/>
  <c r="J28" i="149"/>
  <c r="H28" i="149"/>
  <c r="I28" i="149" s="1"/>
  <c r="E28" i="149"/>
  <c r="B28" i="149"/>
  <c r="A28" i="149"/>
  <c r="J27" i="149"/>
  <c r="H27" i="149"/>
  <c r="I27" i="149" s="1"/>
  <c r="E27" i="149"/>
  <c r="B27" i="149"/>
  <c r="A27" i="149"/>
  <c r="J26" i="149"/>
  <c r="H26" i="149"/>
  <c r="I26" i="149" s="1"/>
  <c r="E26" i="149"/>
  <c r="B26" i="149"/>
  <c r="A26" i="149"/>
  <c r="J25" i="149"/>
  <c r="H25" i="149"/>
  <c r="I25" i="149" s="1"/>
  <c r="E25" i="149"/>
  <c r="B25" i="149"/>
  <c r="A25" i="149"/>
  <c r="J24" i="149"/>
  <c r="H24" i="149"/>
  <c r="I24" i="149" s="1"/>
  <c r="E24" i="149"/>
  <c r="B24" i="149"/>
  <c r="A24" i="149"/>
  <c r="J23" i="149"/>
  <c r="H23" i="149"/>
  <c r="I23" i="149" s="1"/>
  <c r="E23" i="149"/>
  <c r="B23" i="149"/>
  <c r="A23" i="149"/>
  <c r="J22" i="149"/>
  <c r="H22" i="149"/>
  <c r="I22" i="149" s="1"/>
  <c r="E22" i="149"/>
  <c r="B22" i="149"/>
  <c r="A22" i="149"/>
  <c r="J21" i="149"/>
  <c r="H21" i="149"/>
  <c r="I21" i="149" s="1"/>
  <c r="E21" i="149"/>
  <c r="B21" i="149"/>
  <c r="A21" i="149"/>
  <c r="J20" i="149"/>
  <c r="H20" i="149"/>
  <c r="I20" i="149" s="1"/>
  <c r="E20" i="149"/>
  <c r="B20" i="149"/>
  <c r="A20" i="149"/>
  <c r="J19" i="149"/>
  <c r="H19" i="149"/>
  <c r="I19" i="149" s="1"/>
  <c r="E19" i="149"/>
  <c r="B19" i="149"/>
  <c r="A19" i="149"/>
  <c r="J18" i="149"/>
  <c r="H18" i="149"/>
  <c r="I18" i="149" s="1"/>
  <c r="E18" i="149"/>
  <c r="B18" i="149"/>
  <c r="A18" i="149"/>
  <c r="J17" i="149"/>
  <c r="H17" i="149"/>
  <c r="I17" i="149" s="1"/>
  <c r="E17" i="149"/>
  <c r="B17" i="149"/>
  <c r="A17" i="149"/>
  <c r="J16" i="149"/>
  <c r="H16" i="149"/>
  <c r="I16" i="149" s="1"/>
  <c r="E16" i="149"/>
  <c r="B16" i="149"/>
  <c r="A16" i="149"/>
  <c r="J15" i="149"/>
  <c r="H15" i="149"/>
  <c r="I15" i="149" s="1"/>
  <c r="E15" i="149"/>
  <c r="B15" i="149"/>
  <c r="A15" i="149"/>
  <c r="J14" i="149"/>
  <c r="H14" i="149"/>
  <c r="I14" i="149" s="1"/>
  <c r="E14" i="149"/>
  <c r="B14" i="149"/>
  <c r="A14" i="149"/>
  <c r="J13" i="149"/>
  <c r="H13" i="149"/>
  <c r="I13" i="149" s="1"/>
  <c r="E13" i="149"/>
  <c r="B13" i="149"/>
  <c r="A13" i="149"/>
  <c r="J12" i="149"/>
  <c r="H12" i="149"/>
  <c r="I12" i="149" s="1"/>
  <c r="E12" i="149"/>
  <c r="B12" i="149"/>
  <c r="A12" i="149"/>
  <c r="J11" i="149"/>
  <c r="H11" i="149"/>
  <c r="I11" i="149" s="1"/>
  <c r="E11" i="149"/>
  <c r="B11" i="149"/>
  <c r="A11" i="149"/>
  <c r="J10" i="149"/>
  <c r="H10" i="149"/>
  <c r="I10" i="149" s="1"/>
  <c r="E10" i="149"/>
  <c r="B10" i="149"/>
  <c r="A10" i="149"/>
  <c r="C10" i="149" s="1"/>
  <c r="M5" i="149"/>
  <c r="L5" i="149"/>
  <c r="K5" i="149"/>
  <c r="J5" i="149"/>
  <c r="I5" i="149"/>
  <c r="H5" i="149"/>
  <c r="D1" i="149"/>
  <c r="A1" i="149"/>
  <c r="C40" i="218" l="1"/>
  <c r="C40" i="219"/>
  <c r="C23" i="154"/>
  <c r="C17" i="193"/>
  <c r="C13" i="201"/>
  <c r="C17" i="205"/>
  <c r="C29" i="207"/>
  <c r="C13" i="215"/>
  <c r="C29" i="215"/>
  <c r="C15" i="216"/>
  <c r="C23" i="216"/>
  <c r="C31" i="216"/>
  <c r="C39" i="216"/>
  <c r="C15" i="218"/>
  <c r="C39" i="218"/>
  <c r="C33" i="203"/>
  <c r="C23" i="206"/>
  <c r="C23" i="208"/>
  <c r="C37" i="211"/>
  <c r="C17" i="215"/>
  <c r="C33" i="215"/>
  <c r="C37" i="219"/>
  <c r="C21" i="215"/>
  <c r="C37" i="215"/>
  <c r="C11" i="216"/>
  <c r="C19" i="216"/>
  <c r="C27" i="216"/>
  <c r="C35" i="216"/>
  <c r="C11" i="218"/>
  <c r="C19" i="218"/>
  <c r="I42" i="219"/>
  <c r="G7" i="219"/>
  <c r="C10" i="219"/>
  <c r="H7" i="219"/>
  <c r="C14" i="219"/>
  <c r="C18" i="219"/>
  <c r="C22" i="219"/>
  <c r="C26" i="219"/>
  <c r="C30" i="219"/>
  <c r="C34" i="219"/>
  <c r="I42" i="218"/>
  <c r="G7" i="218"/>
  <c r="C22" i="218"/>
  <c r="C38" i="218"/>
  <c r="H7" i="218"/>
  <c r="C26" i="218"/>
  <c r="C10" i="218"/>
  <c r="C14" i="218"/>
  <c r="C18" i="218"/>
  <c r="C30" i="218"/>
  <c r="I42" i="217"/>
  <c r="G7" i="217"/>
  <c r="C22" i="217"/>
  <c r="C38" i="217"/>
  <c r="H7" i="217"/>
  <c r="C10" i="217"/>
  <c r="C14" i="217"/>
  <c r="C18" i="217"/>
  <c r="C26" i="217"/>
  <c r="C30" i="217"/>
  <c r="C34" i="217"/>
  <c r="C11" i="217"/>
  <c r="C15" i="217"/>
  <c r="C19" i="217"/>
  <c r="C23" i="217"/>
  <c r="C27" i="217"/>
  <c r="C31" i="217"/>
  <c r="C35" i="217"/>
  <c r="I42" i="216"/>
  <c r="G7" i="216"/>
  <c r="H7" i="216"/>
  <c r="I42" i="215"/>
  <c r="G7" i="215"/>
  <c r="C38" i="215"/>
  <c r="C10" i="215"/>
  <c r="C14" i="215"/>
  <c r="C18" i="215"/>
  <c r="C22" i="215"/>
  <c r="C26" i="215"/>
  <c r="C30" i="215"/>
  <c r="H7" i="215"/>
  <c r="G7" i="214"/>
  <c r="C30" i="214"/>
  <c r="H7" i="214"/>
  <c r="C10" i="214"/>
  <c r="C26" i="214"/>
  <c r="C34" i="214"/>
  <c r="C38" i="214"/>
  <c r="C14" i="214"/>
  <c r="C18" i="214"/>
  <c r="C22" i="214"/>
  <c r="C11" i="214"/>
  <c r="C15" i="214"/>
  <c r="C19" i="214"/>
  <c r="C23" i="214"/>
  <c r="C27" i="214"/>
  <c r="C31" i="214"/>
  <c r="C35" i="214"/>
  <c r="G7" i="213"/>
  <c r="C10" i="213"/>
  <c r="C14" i="213"/>
  <c r="C18" i="213"/>
  <c r="C22" i="213"/>
  <c r="C26" i="213"/>
  <c r="C30" i="213"/>
  <c r="C34" i="213"/>
  <c r="C38" i="213"/>
  <c r="H7" i="213"/>
  <c r="C11" i="213"/>
  <c r="C15" i="213"/>
  <c r="C19" i="213"/>
  <c r="C23" i="213"/>
  <c r="C27" i="213"/>
  <c r="C31" i="213"/>
  <c r="C41" i="150"/>
  <c r="C26" i="165"/>
  <c r="C30" i="165"/>
  <c r="C18" i="151"/>
  <c r="C22" i="153"/>
  <c r="C11" i="162"/>
  <c r="C12" i="164"/>
  <c r="C16" i="164"/>
  <c r="C20" i="164"/>
  <c r="C24" i="164"/>
  <c r="C28" i="164"/>
  <c r="C32" i="164"/>
  <c r="C36" i="164"/>
  <c r="C12" i="168"/>
  <c r="C16" i="168"/>
  <c r="C20" i="168"/>
  <c r="C24" i="168"/>
  <c r="C28" i="168"/>
  <c r="C32" i="168"/>
  <c r="C36" i="168"/>
  <c r="C11" i="151"/>
  <c r="C15" i="151"/>
  <c r="C12" i="153"/>
  <c r="C15" i="153"/>
  <c r="C19" i="153"/>
  <c r="C31" i="161"/>
  <c r="C25" i="162"/>
  <c r="C11" i="163"/>
  <c r="H7" i="163"/>
  <c r="C16" i="166"/>
  <c r="C19" i="191"/>
  <c r="C21" i="191"/>
  <c r="C35" i="191"/>
  <c r="C37" i="191"/>
  <c r="C41" i="191"/>
  <c r="C19" i="192"/>
  <c r="C25" i="192"/>
  <c r="C35" i="192"/>
  <c r="C41" i="192"/>
  <c r="C12" i="193"/>
  <c r="C19" i="193"/>
  <c r="C21" i="193"/>
  <c r="C28" i="193"/>
  <c r="C12" i="194"/>
  <c r="C28" i="194"/>
  <c r="C35" i="194"/>
  <c r="C23" i="196"/>
  <c r="C29" i="196"/>
  <c r="C41" i="197"/>
  <c r="C41" i="198"/>
  <c r="C23" i="199"/>
  <c r="C29" i="199"/>
  <c r="C41" i="200"/>
  <c r="C17" i="201"/>
  <c r="C33" i="201"/>
  <c r="C38" i="202"/>
  <c r="J42" i="202"/>
  <c r="C24" i="204"/>
  <c r="C41" i="204"/>
  <c r="C24" i="205"/>
  <c r="C41" i="205"/>
  <c r="C38" i="206"/>
  <c r="C16" i="206"/>
  <c r="C32" i="206"/>
  <c r="C16" i="207"/>
  <c r="C32" i="207"/>
  <c r="C16" i="208"/>
  <c r="C32" i="208"/>
  <c r="C38" i="212"/>
  <c r="C16" i="191"/>
  <c r="C32" i="191"/>
  <c r="C16" i="192"/>
  <c r="C32" i="192"/>
  <c r="C16" i="194"/>
  <c r="C32" i="194"/>
  <c r="C39" i="194"/>
  <c r="C13" i="195"/>
  <c r="C17" i="195"/>
  <c r="C21" i="195"/>
  <c r="C25" i="195"/>
  <c r="C29" i="195"/>
  <c r="C33" i="195"/>
  <c r="C37" i="195"/>
  <c r="C38" i="211"/>
  <c r="C25" i="166"/>
  <c r="C22" i="169"/>
  <c r="C11" i="191"/>
  <c r="C13" i="191"/>
  <c r="C27" i="191"/>
  <c r="C29" i="191"/>
  <c r="C11" i="192"/>
  <c r="C17" i="192"/>
  <c r="C27" i="192"/>
  <c r="C11" i="193"/>
  <c r="C13" i="193"/>
  <c r="C20" i="193"/>
  <c r="C20" i="194"/>
  <c r="C36" i="194"/>
  <c r="C39" i="195"/>
  <c r="C30" i="196"/>
  <c r="C14" i="197"/>
  <c r="C38" i="198"/>
  <c r="C30" i="199"/>
  <c r="C19" i="200"/>
  <c r="C15" i="201"/>
  <c r="C25" i="201"/>
  <c r="C41" i="201"/>
  <c r="C41" i="202"/>
  <c r="C19" i="204"/>
  <c r="C25" i="204"/>
  <c r="C29" i="204"/>
  <c r="C36" i="204"/>
  <c r="C19" i="205"/>
  <c r="C25" i="205"/>
  <c r="C29" i="205"/>
  <c r="C36" i="205"/>
  <c r="C31" i="206"/>
  <c r="C15" i="207"/>
  <c r="C31" i="207"/>
  <c r="C31" i="208"/>
  <c r="C28" i="210"/>
  <c r="C32" i="210"/>
  <c r="C36" i="210"/>
  <c r="C40" i="210"/>
  <c r="C23" i="155"/>
  <c r="C28" i="149"/>
  <c r="C31" i="151"/>
  <c r="C26" i="153"/>
  <c r="C11" i="155"/>
  <c r="C20" i="155"/>
  <c r="C27" i="155"/>
  <c r="C36" i="155"/>
  <c r="C11" i="157"/>
  <c r="C20" i="157"/>
  <c r="C27" i="157"/>
  <c r="C36" i="157"/>
  <c r="C14" i="158"/>
  <c r="C18" i="158"/>
  <c r="C29" i="158"/>
  <c r="C12" i="160"/>
  <c r="C28" i="160"/>
  <c r="C12" i="161"/>
  <c r="C19" i="161"/>
  <c r="C28" i="161"/>
  <c r="C35" i="161"/>
  <c r="C41" i="163"/>
  <c r="C12" i="165"/>
  <c r="C16" i="165"/>
  <c r="C19" i="165"/>
  <c r="C13" i="166"/>
  <c r="C20" i="166"/>
  <c r="C29" i="166"/>
  <c r="C36" i="166"/>
  <c r="C33" i="192"/>
  <c r="C33" i="202"/>
  <c r="C30" i="203"/>
  <c r="C10" i="203"/>
  <c r="C32" i="155"/>
  <c r="C23" i="157"/>
  <c r="C21" i="158"/>
  <c r="C15" i="149"/>
  <c r="C14" i="150"/>
  <c r="C19" i="151"/>
  <c r="C35" i="151"/>
  <c r="C10" i="152"/>
  <c r="J42" i="152"/>
  <c r="J42" i="153"/>
  <c r="C13" i="153"/>
  <c r="C23" i="153"/>
  <c r="C30" i="153"/>
  <c r="C15" i="155"/>
  <c r="C24" i="155"/>
  <c r="C31" i="155"/>
  <c r="C12" i="156"/>
  <c r="C16" i="156"/>
  <c r="C20" i="156"/>
  <c r="C24" i="156"/>
  <c r="C28" i="156"/>
  <c r="C32" i="156"/>
  <c r="C36" i="156"/>
  <c r="C15" i="157"/>
  <c r="C24" i="157"/>
  <c r="C31" i="157"/>
  <c r="C26" i="158"/>
  <c r="C37" i="158"/>
  <c r="C16" i="160"/>
  <c r="C23" i="160"/>
  <c r="C32" i="160"/>
  <c r="C16" i="161"/>
  <c r="C32" i="161"/>
  <c r="C21" i="165"/>
  <c r="C24" i="165"/>
  <c r="C31" i="165"/>
  <c r="C17" i="166"/>
  <c r="C24" i="166"/>
  <c r="C26" i="166"/>
  <c r="C33" i="166"/>
  <c r="C35" i="167"/>
  <c r="C41" i="167"/>
  <c r="C13" i="169"/>
  <c r="C16" i="169"/>
  <c r="C12" i="191"/>
  <c r="C15" i="191"/>
  <c r="C17" i="191"/>
  <c r="C20" i="191"/>
  <c r="C23" i="191"/>
  <c r="C25" i="191"/>
  <c r="C28" i="191"/>
  <c r="C31" i="191"/>
  <c r="C33" i="191"/>
  <c r="C36" i="191"/>
  <c r="C39" i="191"/>
  <c r="C12" i="192"/>
  <c r="C15" i="192"/>
  <c r="C20" i="192"/>
  <c r="C23" i="192"/>
  <c r="C28" i="192"/>
  <c r="C31" i="192"/>
  <c r="C36" i="192"/>
  <c r="C16" i="193"/>
  <c r="C23" i="193"/>
  <c r="C25" i="193"/>
  <c r="C32" i="193"/>
  <c r="C39" i="193"/>
  <c r="C20" i="196"/>
  <c r="C29" i="197"/>
  <c r="C29" i="198"/>
  <c r="C20" i="199"/>
  <c r="C16" i="155"/>
  <c r="C16" i="157"/>
  <c r="C32" i="157"/>
  <c r="C24" i="158"/>
  <c r="C12" i="149"/>
  <c r="C11" i="150"/>
  <c r="H7" i="150"/>
  <c r="J42" i="151"/>
  <c r="C14" i="151"/>
  <c r="C23" i="151"/>
  <c r="C18" i="153"/>
  <c r="C27" i="153"/>
  <c r="C17" i="154"/>
  <c r="C12" i="155"/>
  <c r="C19" i="155"/>
  <c r="C28" i="155"/>
  <c r="C35" i="155"/>
  <c r="C12" i="157"/>
  <c r="C19" i="157"/>
  <c r="C28" i="157"/>
  <c r="C35" i="157"/>
  <c r="C12" i="158"/>
  <c r="C34" i="158"/>
  <c r="C11" i="160"/>
  <c r="C20" i="160"/>
  <c r="C36" i="160"/>
  <c r="C11" i="161"/>
  <c r="C20" i="161"/>
  <c r="C36" i="161"/>
  <c r="C21" i="162"/>
  <c r="C14" i="163"/>
  <c r="C14" i="165"/>
  <c r="C18" i="165"/>
  <c r="C28" i="165"/>
  <c r="C33" i="165"/>
  <c r="C36" i="165"/>
  <c r="C12" i="166"/>
  <c r="C21" i="166"/>
  <c r="C28" i="166"/>
  <c r="C37" i="166"/>
  <c r="C12" i="167"/>
  <c r="C16" i="167"/>
  <c r="C20" i="167"/>
  <c r="C24" i="167"/>
  <c r="C28" i="167"/>
  <c r="C32" i="167"/>
  <c r="C38" i="191"/>
  <c r="J42" i="191"/>
  <c r="J42" i="192"/>
  <c r="C13" i="192"/>
  <c r="C21" i="192"/>
  <c r="C29" i="192"/>
  <c r="C37" i="192"/>
  <c r="C39" i="192"/>
  <c r="C27" i="193"/>
  <c r="C36" i="193"/>
  <c r="J42" i="196"/>
  <c r="C13" i="196"/>
  <c r="C39" i="196"/>
  <c r="J42" i="197"/>
  <c r="J42" i="198"/>
  <c r="J42" i="199"/>
  <c r="C13" i="199"/>
  <c r="C39" i="199"/>
  <c r="C13" i="200"/>
  <c r="C21" i="200"/>
  <c r="C23" i="200"/>
  <c r="C31" i="200"/>
  <c r="C40" i="200"/>
  <c r="J42" i="193"/>
  <c r="C29" i="193"/>
  <c r="C37" i="193"/>
  <c r="C26" i="194"/>
  <c r="J42" i="194"/>
  <c r="C13" i="194"/>
  <c r="C15" i="194"/>
  <c r="C21" i="194"/>
  <c r="C23" i="194"/>
  <c r="C29" i="194"/>
  <c r="C31" i="194"/>
  <c r="C37" i="194"/>
  <c r="C38" i="195"/>
  <c r="C15" i="195"/>
  <c r="C23" i="195"/>
  <c r="C31" i="195"/>
  <c r="C40" i="195"/>
  <c r="C11" i="196"/>
  <c r="C17" i="196"/>
  <c r="C24" i="196"/>
  <c r="C27" i="196"/>
  <c r="C33" i="196"/>
  <c r="C40" i="196"/>
  <c r="C11" i="197"/>
  <c r="C13" i="197"/>
  <c r="C16" i="197"/>
  <c r="C19" i="197"/>
  <c r="C24" i="197"/>
  <c r="C27" i="197"/>
  <c r="C32" i="197"/>
  <c r="C40" i="197"/>
  <c r="C11" i="198"/>
  <c r="C13" i="198"/>
  <c r="C16" i="198"/>
  <c r="C19" i="198"/>
  <c r="C24" i="198"/>
  <c r="C27" i="198"/>
  <c r="C32" i="198"/>
  <c r="C35" i="198"/>
  <c r="C40" i="198"/>
  <c r="C11" i="199"/>
  <c r="C17" i="199"/>
  <c r="C24" i="199"/>
  <c r="C27" i="199"/>
  <c r="C33" i="199"/>
  <c r="C40" i="199"/>
  <c r="J42" i="200"/>
  <c r="C16" i="200"/>
  <c r="C24" i="200"/>
  <c r="C29" i="200"/>
  <c r="C32" i="200"/>
  <c r="C37" i="200"/>
  <c r="C21" i="201"/>
  <c r="C37" i="201"/>
  <c r="C21" i="202"/>
  <c r="C37" i="202"/>
  <c r="C39" i="202"/>
  <c r="C24" i="203"/>
  <c r="C35" i="203"/>
  <c r="J42" i="195"/>
  <c r="C12" i="196"/>
  <c r="C15" i="196"/>
  <c r="C21" i="196"/>
  <c r="C28" i="196"/>
  <c r="C31" i="196"/>
  <c r="C37" i="196"/>
  <c r="C17" i="197"/>
  <c r="C33" i="197"/>
  <c r="C35" i="197"/>
  <c r="C17" i="198"/>
  <c r="C25" i="198"/>
  <c r="C33" i="198"/>
  <c r="C12" i="199"/>
  <c r="C15" i="199"/>
  <c r="C21" i="199"/>
  <c r="C28" i="199"/>
  <c r="C31" i="199"/>
  <c r="C37" i="199"/>
  <c r="C17" i="200"/>
  <c r="C27" i="200"/>
  <c r="C35" i="200"/>
  <c r="C25" i="202"/>
  <c r="C11" i="203"/>
  <c r="C17" i="203"/>
  <c r="C32" i="203"/>
  <c r="C33" i="193"/>
  <c r="C35" i="193"/>
  <c r="C41" i="193"/>
  <c r="C11" i="194"/>
  <c r="C17" i="194"/>
  <c r="C19" i="194"/>
  <c r="C25" i="194"/>
  <c r="C27" i="194"/>
  <c r="C33" i="194"/>
  <c r="C41" i="194"/>
  <c r="C11" i="195"/>
  <c r="C19" i="195"/>
  <c r="C27" i="195"/>
  <c r="C35" i="195"/>
  <c r="C41" i="195"/>
  <c r="C16" i="196"/>
  <c r="C19" i="196"/>
  <c r="C25" i="196"/>
  <c r="C32" i="196"/>
  <c r="C35" i="196"/>
  <c r="C41" i="196"/>
  <c r="C12" i="197"/>
  <c r="C15" i="197"/>
  <c r="C20" i="197"/>
  <c r="C23" i="197"/>
  <c r="C25" i="197"/>
  <c r="C28" i="197"/>
  <c r="C31" i="197"/>
  <c r="C36" i="197"/>
  <c r="C12" i="198"/>
  <c r="C15" i="198"/>
  <c r="C20" i="198"/>
  <c r="C23" i="198"/>
  <c r="C28" i="198"/>
  <c r="C31" i="198"/>
  <c r="C36" i="198"/>
  <c r="C16" i="199"/>
  <c r="C19" i="199"/>
  <c r="C25" i="199"/>
  <c r="C32" i="199"/>
  <c r="C35" i="199"/>
  <c r="C41" i="199"/>
  <c r="C12" i="200"/>
  <c r="C20" i="200"/>
  <c r="C25" i="200"/>
  <c r="C28" i="200"/>
  <c r="C33" i="200"/>
  <c r="C36" i="200"/>
  <c r="C39" i="200"/>
  <c r="C14" i="201"/>
  <c r="J42" i="201"/>
  <c r="C16" i="201"/>
  <c r="C19" i="201"/>
  <c r="C29" i="202"/>
  <c r="C19" i="203"/>
  <c r="C25" i="203"/>
  <c r="C40" i="203"/>
  <c r="C29" i="212"/>
  <c r="C24" i="201"/>
  <c r="C27" i="201"/>
  <c r="C29" i="201"/>
  <c r="C32" i="201"/>
  <c r="C35" i="201"/>
  <c r="C40" i="201"/>
  <c r="C11" i="202"/>
  <c r="C13" i="202"/>
  <c r="C16" i="202"/>
  <c r="C19" i="202"/>
  <c r="C24" i="202"/>
  <c r="C27" i="202"/>
  <c r="C32" i="202"/>
  <c r="C35" i="202"/>
  <c r="C40" i="202"/>
  <c r="J42" i="203"/>
  <c r="C13" i="203"/>
  <c r="C20" i="203"/>
  <c r="C23" i="203"/>
  <c r="C29" i="203"/>
  <c r="C36" i="203"/>
  <c r="C39" i="203"/>
  <c r="C14" i="204"/>
  <c r="J42" i="204"/>
  <c r="C13" i="204"/>
  <c r="C20" i="204"/>
  <c r="C23" i="204"/>
  <c r="C27" i="204"/>
  <c r="C33" i="204"/>
  <c r="C40" i="204"/>
  <c r="C32" i="205"/>
  <c r="C35" i="205"/>
  <c r="J42" i="206"/>
  <c r="C13" i="206"/>
  <c r="C15" i="206"/>
  <c r="C24" i="206"/>
  <c r="C36" i="206"/>
  <c r="C34" i="207"/>
  <c r="J42" i="207"/>
  <c r="C13" i="207"/>
  <c r="C19" i="207"/>
  <c r="C24" i="207"/>
  <c r="C36" i="207"/>
  <c r="C26" i="208"/>
  <c r="J42" i="208"/>
  <c r="C13" i="208"/>
  <c r="C15" i="208"/>
  <c r="C24" i="208"/>
  <c r="C36" i="208"/>
  <c r="G7" i="210"/>
  <c r="C25" i="210"/>
  <c r="C33" i="210"/>
  <c r="C28" i="211"/>
  <c r="C39" i="211"/>
  <c r="J42" i="212"/>
  <c r="C17" i="212"/>
  <c r="C15" i="211"/>
  <c r="C21" i="211"/>
  <c r="C36" i="211"/>
  <c r="C37" i="212"/>
  <c r="C39" i="212"/>
  <c r="C20" i="201"/>
  <c r="C23" i="201"/>
  <c r="C28" i="201"/>
  <c r="C31" i="201"/>
  <c r="C36" i="201"/>
  <c r="C39" i="201"/>
  <c r="C12" i="202"/>
  <c r="C15" i="202"/>
  <c r="C17" i="202"/>
  <c r="C20" i="202"/>
  <c r="C23" i="202"/>
  <c r="C28" i="202"/>
  <c r="C31" i="202"/>
  <c r="C36" i="202"/>
  <c r="C12" i="203"/>
  <c r="C15" i="203"/>
  <c r="C21" i="203"/>
  <c r="C28" i="203"/>
  <c r="C31" i="203"/>
  <c r="C37" i="203"/>
  <c r="C41" i="203"/>
  <c r="C12" i="204"/>
  <c r="C15" i="204"/>
  <c r="C32" i="204"/>
  <c r="C35" i="204"/>
  <c r="C26" i="205"/>
  <c r="J42" i="205"/>
  <c r="C13" i="205"/>
  <c r="C20" i="205"/>
  <c r="C23" i="205"/>
  <c r="C27" i="205"/>
  <c r="C33" i="205"/>
  <c r="C40" i="205"/>
  <c r="C20" i="206"/>
  <c r="C29" i="206"/>
  <c r="C40" i="206"/>
  <c r="C20" i="207"/>
  <c r="C23" i="207"/>
  <c r="C25" i="207"/>
  <c r="C35" i="207"/>
  <c r="C40" i="207"/>
  <c r="C20" i="208"/>
  <c r="C29" i="208"/>
  <c r="C40" i="208"/>
  <c r="J42" i="210"/>
  <c r="C13" i="210"/>
  <c r="C21" i="210"/>
  <c r="C41" i="210"/>
  <c r="C23" i="211"/>
  <c r="C29" i="211"/>
  <c r="C25" i="212"/>
  <c r="J42" i="211"/>
  <c r="C13" i="211"/>
  <c r="C16" i="211"/>
  <c r="C19" i="211"/>
  <c r="C25" i="211"/>
  <c r="C32" i="211"/>
  <c r="C35" i="211"/>
  <c r="C41" i="211"/>
  <c r="C12" i="212"/>
  <c r="C15" i="212"/>
  <c r="C20" i="212"/>
  <c r="C23" i="212"/>
  <c r="C28" i="212"/>
  <c r="C31" i="212"/>
  <c r="C36" i="212"/>
  <c r="C40" i="212"/>
  <c r="C21" i="204"/>
  <c r="C28" i="204"/>
  <c r="C31" i="204"/>
  <c r="C37" i="204"/>
  <c r="C12" i="205"/>
  <c r="C15" i="205"/>
  <c r="C21" i="205"/>
  <c r="C28" i="205"/>
  <c r="C31" i="205"/>
  <c r="C37" i="205"/>
  <c r="C17" i="206"/>
  <c r="C19" i="206"/>
  <c r="C25" i="206"/>
  <c r="C27" i="206"/>
  <c r="C33" i="206"/>
  <c r="C35" i="206"/>
  <c r="C41" i="206"/>
  <c r="C17" i="207"/>
  <c r="C33" i="207"/>
  <c r="C41" i="207"/>
  <c r="C17" i="208"/>
  <c r="C19" i="208"/>
  <c r="C25" i="208"/>
  <c r="C27" i="208"/>
  <c r="C33" i="208"/>
  <c r="C35" i="208"/>
  <c r="C41" i="208"/>
  <c r="C39" i="210"/>
  <c r="C12" i="210"/>
  <c r="C17" i="210"/>
  <c r="C24" i="210"/>
  <c r="C29" i="210"/>
  <c r="C37" i="210"/>
  <c r="C12" i="211"/>
  <c r="C17" i="211"/>
  <c r="C24" i="211"/>
  <c r="C27" i="211"/>
  <c r="C33" i="211"/>
  <c r="C40" i="211"/>
  <c r="C11" i="212"/>
  <c r="C16" i="212"/>
  <c r="C19" i="212"/>
  <c r="C24" i="212"/>
  <c r="C27" i="212"/>
  <c r="C32" i="212"/>
  <c r="C35" i="212"/>
  <c r="C41" i="212"/>
  <c r="C33" i="212"/>
  <c r="I42" i="212"/>
  <c r="G7" i="212"/>
  <c r="C18" i="212"/>
  <c r="C26" i="212"/>
  <c r="C34" i="212"/>
  <c r="H7" i="212"/>
  <c r="C14" i="212"/>
  <c r="C10" i="212"/>
  <c r="C22" i="212"/>
  <c r="C30" i="212"/>
  <c r="I42" i="211"/>
  <c r="G7" i="211"/>
  <c r="C10" i="211"/>
  <c r="C14" i="211"/>
  <c r="C18" i="211"/>
  <c r="C22" i="211"/>
  <c r="C26" i="211"/>
  <c r="C30" i="211"/>
  <c r="C34" i="211"/>
  <c r="H7" i="211"/>
  <c r="I42" i="210"/>
  <c r="C14" i="210"/>
  <c r="C26" i="210"/>
  <c r="C38" i="210"/>
  <c r="H7" i="210"/>
  <c r="C10" i="210"/>
  <c r="C18" i="210"/>
  <c r="C22" i="210"/>
  <c r="C30" i="210"/>
  <c r="C34" i="210"/>
  <c r="C11" i="210"/>
  <c r="C15" i="210"/>
  <c r="C19" i="210"/>
  <c r="C23" i="210"/>
  <c r="C27" i="210"/>
  <c r="C31" i="210"/>
  <c r="C35" i="210"/>
  <c r="I42" i="208"/>
  <c r="G7" i="208"/>
  <c r="C14" i="208"/>
  <c r="C18" i="208"/>
  <c r="C30" i="208"/>
  <c r="C34" i="208"/>
  <c r="C38" i="208"/>
  <c r="H7" i="208"/>
  <c r="C22" i="208"/>
  <c r="C10" i="208"/>
  <c r="G7" i="207"/>
  <c r="I42" i="207"/>
  <c r="C10" i="207"/>
  <c r="C14" i="207"/>
  <c r="C38" i="207"/>
  <c r="H7" i="207"/>
  <c r="C22" i="207"/>
  <c r="C30" i="207"/>
  <c r="C18" i="207"/>
  <c r="C26" i="207"/>
  <c r="I42" i="206"/>
  <c r="G7" i="206"/>
  <c r="C10" i="206"/>
  <c r="C14" i="206"/>
  <c r="C18" i="206"/>
  <c r="C22" i="206"/>
  <c r="C26" i="206"/>
  <c r="C30" i="206"/>
  <c r="C34" i="206"/>
  <c r="H7" i="206"/>
  <c r="G7" i="205"/>
  <c r="I42" i="205"/>
  <c r="C10" i="205"/>
  <c r="C14" i="205"/>
  <c r="C30" i="205"/>
  <c r="C34" i="205"/>
  <c r="C38" i="205"/>
  <c r="H7" i="205"/>
  <c r="C18" i="205"/>
  <c r="C22" i="205"/>
  <c r="G7" i="204"/>
  <c r="I42" i="204"/>
  <c r="C10" i="204"/>
  <c r="C18" i="204"/>
  <c r="C22" i="204"/>
  <c r="C26" i="204"/>
  <c r="C30" i="204"/>
  <c r="C34" i="204"/>
  <c r="C38" i="204"/>
  <c r="H7" i="204"/>
  <c r="G7" i="203"/>
  <c r="I42" i="203"/>
  <c r="C18" i="203"/>
  <c r="H7" i="203"/>
  <c r="C14" i="203"/>
  <c r="C34" i="203"/>
  <c r="C38" i="203"/>
  <c r="C22" i="203"/>
  <c r="C26" i="203"/>
  <c r="G7" i="202"/>
  <c r="I42" i="202"/>
  <c r="C22" i="202"/>
  <c r="C26" i="202"/>
  <c r="H7" i="202"/>
  <c r="C10" i="202"/>
  <c r="C30" i="202"/>
  <c r="C14" i="202"/>
  <c r="C18" i="202"/>
  <c r="C34" i="202"/>
  <c r="G7" i="201"/>
  <c r="I42" i="201"/>
  <c r="C10" i="201"/>
  <c r="C18" i="201"/>
  <c r="C26" i="201"/>
  <c r="C30" i="201"/>
  <c r="C38" i="201"/>
  <c r="H7" i="201"/>
  <c r="C22" i="201"/>
  <c r="C34" i="201"/>
  <c r="I42" i="200"/>
  <c r="G7" i="200"/>
  <c r="C10" i="200"/>
  <c r="C14" i="200"/>
  <c r="C18" i="200"/>
  <c r="C22" i="200"/>
  <c r="C26" i="200"/>
  <c r="C30" i="200"/>
  <c r="C34" i="200"/>
  <c r="C38" i="200"/>
  <c r="H7" i="200"/>
  <c r="C11" i="200"/>
  <c r="C15" i="200"/>
  <c r="G7" i="199"/>
  <c r="I42" i="199"/>
  <c r="C10" i="199"/>
  <c r="C22" i="199"/>
  <c r="C34" i="199"/>
  <c r="C38" i="199"/>
  <c r="C14" i="199"/>
  <c r="C18" i="199"/>
  <c r="C26" i="199"/>
  <c r="H7" i="199"/>
  <c r="I42" i="198"/>
  <c r="G7" i="198"/>
  <c r="C14" i="198"/>
  <c r="C22" i="198"/>
  <c r="C34" i="198"/>
  <c r="H7" i="198"/>
  <c r="C18" i="198"/>
  <c r="C26" i="198"/>
  <c r="C10" i="198"/>
  <c r="C30" i="198"/>
  <c r="I42" i="197"/>
  <c r="G7" i="197"/>
  <c r="C18" i="197"/>
  <c r="C22" i="197"/>
  <c r="C30" i="197"/>
  <c r="C38" i="197"/>
  <c r="H7" i="197"/>
  <c r="C26" i="197"/>
  <c r="C34" i="197"/>
  <c r="C10" i="197"/>
  <c r="I42" i="196"/>
  <c r="G7" i="196"/>
  <c r="C34" i="196"/>
  <c r="C38" i="196"/>
  <c r="H7" i="196"/>
  <c r="C10" i="196"/>
  <c r="C14" i="196"/>
  <c r="C18" i="196"/>
  <c r="C22" i="196"/>
  <c r="C26" i="196"/>
  <c r="I42" i="195"/>
  <c r="G7" i="195"/>
  <c r="C14" i="195"/>
  <c r="C22" i="195"/>
  <c r="C26" i="195"/>
  <c r="C34" i="195"/>
  <c r="H7" i="195"/>
  <c r="C10" i="195"/>
  <c r="C18" i="195"/>
  <c r="C30" i="195"/>
  <c r="I42" i="194"/>
  <c r="G7" i="194"/>
  <c r="C14" i="194"/>
  <c r="C18" i="194"/>
  <c r="C34" i="194"/>
  <c r="C38" i="194"/>
  <c r="H7" i="194"/>
  <c r="C22" i="194"/>
  <c r="C30" i="194"/>
  <c r="C10" i="194"/>
  <c r="G7" i="193"/>
  <c r="I42" i="193"/>
  <c r="C14" i="193"/>
  <c r="C22" i="193"/>
  <c r="C34" i="193"/>
  <c r="H7" i="193"/>
  <c r="C10" i="193"/>
  <c r="C30" i="193"/>
  <c r="C18" i="193"/>
  <c r="C26" i="193"/>
  <c r="I42" i="192"/>
  <c r="G7" i="192"/>
  <c r="C26" i="192"/>
  <c r="C30" i="192"/>
  <c r="H7" i="192"/>
  <c r="C22" i="192"/>
  <c r="C10" i="192"/>
  <c r="C14" i="192"/>
  <c r="C18" i="192"/>
  <c r="C34" i="192"/>
  <c r="I42" i="191"/>
  <c r="G7" i="191"/>
  <c r="C10" i="191"/>
  <c r="C14" i="191"/>
  <c r="C18" i="191"/>
  <c r="C22" i="191"/>
  <c r="C26" i="191"/>
  <c r="C30" i="191"/>
  <c r="C34" i="191"/>
  <c r="H7" i="191"/>
  <c r="C31" i="149"/>
  <c r="C26" i="150"/>
  <c r="C36" i="150"/>
  <c r="C13" i="152"/>
  <c r="C16" i="152"/>
  <c r="C25" i="152"/>
  <c r="C28" i="152"/>
  <c r="C25" i="154"/>
  <c r="C27" i="154"/>
  <c r="C11" i="159"/>
  <c r="H7" i="159"/>
  <c r="C18" i="159"/>
  <c r="J42" i="162"/>
  <c r="C17" i="162"/>
  <c r="C33" i="162"/>
  <c r="C35" i="162"/>
  <c r="C10" i="163"/>
  <c r="I42" i="163"/>
  <c r="C34" i="169"/>
  <c r="C28" i="150"/>
  <c r="C34" i="150"/>
  <c r="C16" i="149"/>
  <c r="C19" i="149"/>
  <c r="C32" i="149"/>
  <c r="C35" i="149"/>
  <c r="C41" i="149"/>
  <c r="C12" i="150"/>
  <c r="C17" i="150"/>
  <c r="C20" i="150"/>
  <c r="C29" i="150"/>
  <c r="C37" i="150"/>
  <c r="C13" i="151"/>
  <c r="C16" i="151"/>
  <c r="C21" i="151"/>
  <c r="C24" i="151"/>
  <c r="C29" i="151"/>
  <c r="C32" i="151"/>
  <c r="C37" i="151"/>
  <c r="C40" i="151"/>
  <c r="C14" i="152"/>
  <c r="C17" i="152"/>
  <c r="C20" i="152"/>
  <c r="C26" i="152"/>
  <c r="C29" i="152"/>
  <c r="C32" i="152"/>
  <c r="C10" i="153"/>
  <c r="C17" i="153"/>
  <c r="C20" i="153"/>
  <c r="C25" i="153"/>
  <c r="C28" i="153"/>
  <c r="C33" i="153"/>
  <c r="C36" i="153"/>
  <c r="C41" i="153"/>
  <c r="C12" i="154"/>
  <c r="C20" i="154"/>
  <c r="C28" i="154"/>
  <c r="C31" i="154"/>
  <c r="C41" i="154"/>
  <c r="I42" i="156"/>
  <c r="C16" i="158"/>
  <c r="C22" i="159"/>
  <c r="C32" i="159"/>
  <c r="C23" i="162"/>
  <c r="C37" i="162"/>
  <c r="C30" i="163"/>
  <c r="C10" i="169"/>
  <c r="J42" i="169"/>
  <c r="C20" i="169"/>
  <c r="C25" i="169"/>
  <c r="C28" i="169"/>
  <c r="C20" i="149"/>
  <c r="I42" i="150"/>
  <c r="C18" i="150"/>
  <c r="C21" i="150"/>
  <c r="C30" i="150"/>
  <c r="H7" i="152"/>
  <c r="C18" i="152"/>
  <c r="C21" i="152"/>
  <c r="C30" i="152"/>
  <c r="C33" i="152"/>
  <c r="C13" i="154"/>
  <c r="C21" i="154"/>
  <c r="C32" i="154"/>
  <c r="C35" i="154"/>
  <c r="J42" i="156"/>
  <c r="C10" i="159"/>
  <c r="C12" i="159"/>
  <c r="C26" i="159"/>
  <c r="C29" i="159"/>
  <c r="C36" i="169"/>
  <c r="J42" i="149"/>
  <c r="C23" i="149"/>
  <c r="C36" i="149"/>
  <c r="C24" i="150"/>
  <c r="C32" i="150"/>
  <c r="H7" i="151"/>
  <c r="C11" i="149"/>
  <c r="C24" i="149"/>
  <c r="C27" i="149"/>
  <c r="C33" i="149"/>
  <c r="C40" i="149"/>
  <c r="J42" i="150"/>
  <c r="C13" i="150"/>
  <c r="C16" i="150"/>
  <c r="C22" i="150"/>
  <c r="C25" i="150"/>
  <c r="C33" i="150"/>
  <c r="C10" i="151"/>
  <c r="C12" i="151"/>
  <c r="C17" i="151"/>
  <c r="C20" i="151"/>
  <c r="C25" i="151"/>
  <c r="C28" i="151"/>
  <c r="C33" i="151"/>
  <c r="C36" i="151"/>
  <c r="C41" i="151"/>
  <c r="C12" i="152"/>
  <c r="C22" i="152"/>
  <c r="C34" i="152"/>
  <c r="C37" i="152"/>
  <c r="C11" i="153"/>
  <c r="H7" i="153"/>
  <c r="C14" i="153"/>
  <c r="C16" i="153"/>
  <c r="C21" i="153"/>
  <c r="C24" i="153"/>
  <c r="C29" i="153"/>
  <c r="C32" i="153"/>
  <c r="C37" i="153"/>
  <c r="C40" i="153"/>
  <c r="J42" i="154"/>
  <c r="G7" i="154"/>
  <c r="C16" i="154"/>
  <c r="C24" i="154"/>
  <c r="C36" i="154"/>
  <c r="C39" i="154"/>
  <c r="C14" i="159"/>
  <c r="C34" i="159"/>
  <c r="C37" i="159"/>
  <c r="C13" i="162"/>
  <c r="C29" i="162"/>
  <c r="C31" i="162"/>
  <c r="C22" i="163"/>
  <c r="I42" i="164"/>
  <c r="J42" i="166"/>
  <c r="J42" i="167"/>
  <c r="I42" i="171"/>
  <c r="C13" i="171"/>
  <c r="C24" i="171"/>
  <c r="C29" i="171"/>
  <c r="C37" i="171"/>
  <c r="C17" i="155"/>
  <c r="C25" i="155"/>
  <c r="C33" i="155"/>
  <c r="C41" i="155"/>
  <c r="C17" i="156"/>
  <c r="C25" i="156"/>
  <c r="C33" i="156"/>
  <c r="C41" i="156"/>
  <c r="C25" i="157"/>
  <c r="C33" i="157"/>
  <c r="C41" i="157"/>
  <c r="C17" i="158"/>
  <c r="C20" i="158"/>
  <c r="C23" i="158"/>
  <c r="C30" i="158"/>
  <c r="C33" i="158"/>
  <c r="J42" i="159"/>
  <c r="C13" i="159"/>
  <c r="C16" i="159"/>
  <c r="C21" i="159"/>
  <c r="C24" i="159"/>
  <c r="C30" i="159"/>
  <c r="C33" i="159"/>
  <c r="C36" i="159"/>
  <c r="C40" i="159"/>
  <c r="C17" i="160"/>
  <c r="C25" i="160"/>
  <c r="C33" i="160"/>
  <c r="C41" i="160"/>
  <c r="C17" i="161"/>
  <c r="C25" i="161"/>
  <c r="C33" i="161"/>
  <c r="C12" i="162"/>
  <c r="C20" i="162"/>
  <c r="C28" i="162"/>
  <c r="C36" i="162"/>
  <c r="C12" i="163"/>
  <c r="C17" i="163"/>
  <c r="C20" i="163"/>
  <c r="C25" i="163"/>
  <c r="C28" i="163"/>
  <c r="C33" i="163"/>
  <c r="C36" i="163"/>
  <c r="C13" i="164"/>
  <c r="C21" i="164"/>
  <c r="C29" i="164"/>
  <c r="C37" i="164"/>
  <c r="C10" i="165"/>
  <c r="J42" i="165"/>
  <c r="C13" i="165"/>
  <c r="C22" i="165"/>
  <c r="C25" i="165"/>
  <c r="C34" i="165"/>
  <c r="C37" i="165"/>
  <c r="C11" i="166"/>
  <c r="H7" i="166"/>
  <c r="C19" i="166"/>
  <c r="C27" i="166"/>
  <c r="C30" i="166"/>
  <c r="C11" i="167"/>
  <c r="C19" i="167"/>
  <c r="C27" i="167"/>
  <c r="C36" i="167"/>
  <c r="C15" i="168"/>
  <c r="C23" i="168"/>
  <c r="C31" i="168"/>
  <c r="C14" i="169"/>
  <c r="C17" i="169"/>
  <c r="C26" i="169"/>
  <c r="C37" i="169"/>
  <c r="J42" i="171"/>
  <c r="C20" i="171"/>
  <c r="C25" i="171"/>
  <c r="C32" i="171"/>
  <c r="C40" i="171"/>
  <c r="C18" i="163"/>
  <c r="C26" i="163"/>
  <c r="C34" i="163"/>
  <c r="J42" i="164"/>
  <c r="J42" i="168"/>
  <c r="H7" i="169"/>
  <c r="C18" i="169"/>
  <c r="C29" i="169"/>
  <c r="C32" i="169"/>
  <c r="C16" i="171"/>
  <c r="C21" i="171"/>
  <c r="C33" i="171"/>
  <c r="C41" i="171"/>
  <c r="C34" i="155"/>
  <c r="J42" i="155"/>
  <c r="C13" i="155"/>
  <c r="C21" i="155"/>
  <c r="C29" i="155"/>
  <c r="C37" i="155"/>
  <c r="C13" i="156"/>
  <c r="C21" i="156"/>
  <c r="C29" i="156"/>
  <c r="C37" i="156"/>
  <c r="J42" i="157"/>
  <c r="C21" i="157"/>
  <c r="C29" i="157"/>
  <c r="C37" i="157"/>
  <c r="C10" i="158"/>
  <c r="J42" i="158"/>
  <c r="C13" i="158"/>
  <c r="C22" i="158"/>
  <c r="C25" i="158"/>
  <c r="C28" i="158"/>
  <c r="C38" i="158"/>
  <c r="C41" i="158"/>
  <c r="C17" i="159"/>
  <c r="C20" i="159"/>
  <c r="C25" i="159"/>
  <c r="C28" i="159"/>
  <c r="C38" i="159"/>
  <c r="J42" i="160"/>
  <c r="C13" i="160"/>
  <c r="C21" i="160"/>
  <c r="C29" i="160"/>
  <c r="C37" i="160"/>
  <c r="J42" i="161"/>
  <c r="C13" i="161"/>
  <c r="C21" i="161"/>
  <c r="C29" i="161"/>
  <c r="C37" i="161"/>
  <c r="C16" i="162"/>
  <c r="C24" i="162"/>
  <c r="C32" i="162"/>
  <c r="C40" i="162"/>
  <c r="J42" i="163"/>
  <c r="C13" i="163"/>
  <c r="C16" i="163"/>
  <c r="C21" i="163"/>
  <c r="C24" i="163"/>
  <c r="C29" i="163"/>
  <c r="C32" i="163"/>
  <c r="C37" i="163"/>
  <c r="C40" i="163"/>
  <c r="C17" i="164"/>
  <c r="C25" i="164"/>
  <c r="C33" i="164"/>
  <c r="C41" i="164"/>
  <c r="H7" i="165"/>
  <c r="C17" i="165"/>
  <c r="C20" i="165"/>
  <c r="C29" i="165"/>
  <c r="C32" i="165"/>
  <c r="C15" i="166"/>
  <c r="C23" i="166"/>
  <c r="C31" i="166"/>
  <c r="C15" i="167"/>
  <c r="C23" i="167"/>
  <c r="C31" i="167"/>
  <c r="C11" i="168"/>
  <c r="C19" i="168"/>
  <c r="C27" i="168"/>
  <c r="C35" i="168"/>
  <c r="C41" i="168"/>
  <c r="C12" i="169"/>
  <c r="C15" i="169"/>
  <c r="C21" i="169"/>
  <c r="C24" i="169"/>
  <c r="C30" i="169"/>
  <c r="C33" i="169"/>
  <c r="C12" i="171"/>
  <c r="C17" i="171"/>
  <c r="C28" i="171"/>
  <c r="C36" i="171"/>
  <c r="C39" i="149"/>
  <c r="C39" i="157"/>
  <c r="C39" i="163"/>
  <c r="C40" i="164"/>
  <c r="C38" i="165"/>
  <c r="C38" i="169"/>
  <c r="C39" i="151"/>
  <c r="C38" i="167"/>
  <c r="C38" i="152"/>
  <c r="C40" i="154"/>
  <c r="C40" i="155"/>
  <c r="C40" i="156"/>
  <c r="C40" i="157"/>
  <c r="C39" i="168"/>
  <c r="C37" i="149"/>
  <c r="C23" i="152"/>
  <c r="C31" i="152"/>
  <c r="C34" i="153"/>
  <c r="C29" i="154"/>
  <c r="C15" i="158"/>
  <c r="C27" i="158"/>
  <c r="C39" i="159"/>
  <c r="C19" i="160"/>
  <c r="C27" i="160"/>
  <c r="C35" i="160"/>
  <c r="C23" i="165"/>
  <c r="C34" i="166"/>
  <c r="C21" i="167"/>
  <c r="C29" i="167"/>
  <c r="C17" i="168"/>
  <c r="C25" i="168"/>
  <c r="C40" i="169"/>
  <c r="C27" i="169"/>
  <c r="C35" i="169"/>
  <c r="C22" i="162"/>
  <c r="C38" i="163"/>
  <c r="C15" i="165"/>
  <c r="C27" i="165"/>
  <c r="C22" i="166"/>
  <c r="C19" i="169"/>
  <c r="C13" i="149"/>
  <c r="C29" i="149"/>
  <c r="C26" i="151"/>
  <c r="C27" i="152"/>
  <c r="C19" i="158"/>
  <c r="C22" i="160"/>
  <c r="C31" i="160"/>
  <c r="C38" i="161"/>
  <c r="C39" i="165"/>
  <c r="C17" i="167"/>
  <c r="C25" i="167"/>
  <c r="C33" i="167"/>
  <c r="C13" i="168"/>
  <c r="C21" i="168"/>
  <c r="C29" i="168"/>
  <c r="C37" i="168"/>
  <c r="C11" i="169"/>
  <c r="C39" i="169"/>
  <c r="C39" i="162"/>
  <c r="C40" i="165"/>
  <c r="C40" i="168"/>
  <c r="C38" i="153"/>
  <c r="C39" i="160"/>
  <c r="C39" i="155"/>
  <c r="C39" i="156"/>
  <c r="C40" i="158"/>
  <c r="C40" i="166"/>
  <c r="C40" i="150"/>
  <c r="C38" i="151"/>
  <c r="C39" i="166"/>
  <c r="C39" i="167"/>
  <c r="C38" i="168"/>
  <c r="C39" i="158"/>
  <c r="C40" i="160"/>
  <c r="C39" i="164"/>
  <c r="C40" i="152"/>
  <c r="C39" i="161"/>
  <c r="C38" i="166"/>
  <c r="C40" i="167"/>
  <c r="C38" i="149"/>
  <c r="C39" i="150"/>
  <c r="C38" i="150"/>
  <c r="C39" i="171"/>
  <c r="C38" i="157"/>
  <c r="C39" i="153"/>
  <c r="C39" i="152"/>
  <c r="C40" i="161"/>
  <c r="C17" i="149"/>
  <c r="C17" i="157"/>
  <c r="C27" i="161"/>
  <c r="C14" i="166"/>
  <c r="C19" i="152"/>
  <c r="C33" i="154"/>
  <c r="C31" i="158"/>
  <c r="C15" i="162"/>
  <c r="C21" i="149"/>
  <c r="C30" i="151"/>
  <c r="C11" i="152"/>
  <c r="C22" i="151"/>
  <c r="C37" i="154"/>
  <c r="C11" i="158"/>
  <c r="C27" i="162"/>
  <c r="C11" i="165"/>
  <c r="C18" i="166"/>
  <c r="C13" i="167"/>
  <c r="C31" i="169"/>
  <c r="C25" i="149"/>
  <c r="C35" i="152"/>
  <c r="C13" i="157"/>
  <c r="C35" i="158"/>
  <c r="C23" i="161"/>
  <c r="C37" i="167"/>
  <c r="C19" i="162"/>
  <c r="C35" i="165"/>
  <c r="C33" i="168"/>
  <c r="C23" i="169"/>
  <c r="C34" i="151"/>
  <c r="C15" i="152"/>
  <c r="C35" i="159"/>
  <c r="C10" i="166"/>
  <c r="C10" i="150"/>
  <c r="G7" i="171"/>
  <c r="C30" i="171"/>
  <c r="H7" i="171"/>
  <c r="C22" i="171"/>
  <c r="C10" i="171"/>
  <c r="C14" i="171"/>
  <c r="C18" i="171"/>
  <c r="C26" i="171"/>
  <c r="C34" i="171"/>
  <c r="C38" i="171"/>
  <c r="C11" i="171"/>
  <c r="C15" i="171"/>
  <c r="C19" i="171"/>
  <c r="C23" i="171"/>
  <c r="C27" i="171"/>
  <c r="C31" i="171"/>
  <c r="C35" i="171"/>
  <c r="I42" i="169"/>
  <c r="G7" i="169"/>
  <c r="I42" i="168"/>
  <c r="G7" i="168"/>
  <c r="C10" i="168"/>
  <c r="C14" i="168"/>
  <c r="C18" i="168"/>
  <c r="C34" i="168"/>
  <c r="C22" i="168"/>
  <c r="C26" i="168"/>
  <c r="C30" i="168"/>
  <c r="H7" i="168"/>
  <c r="I42" i="167"/>
  <c r="G7" i="167"/>
  <c r="C18" i="167"/>
  <c r="C22" i="167"/>
  <c r="C26" i="167"/>
  <c r="C34" i="167"/>
  <c r="H7" i="167"/>
  <c r="C14" i="167"/>
  <c r="C30" i="167"/>
  <c r="C10" i="167"/>
  <c r="I42" i="166"/>
  <c r="G7" i="166"/>
  <c r="C35" i="166"/>
  <c r="I42" i="165"/>
  <c r="G7" i="165"/>
  <c r="G7" i="164"/>
  <c r="C30" i="164"/>
  <c r="H7" i="164"/>
  <c r="C18" i="164"/>
  <c r="C22" i="164"/>
  <c r="C26" i="164"/>
  <c r="C34" i="164"/>
  <c r="C38" i="164"/>
  <c r="C10" i="164"/>
  <c r="C14" i="164"/>
  <c r="C11" i="164"/>
  <c r="C15" i="164"/>
  <c r="C19" i="164"/>
  <c r="C23" i="164"/>
  <c r="C27" i="164"/>
  <c r="C31" i="164"/>
  <c r="C35" i="164"/>
  <c r="G7" i="163"/>
  <c r="C15" i="163"/>
  <c r="C19" i="163"/>
  <c r="C23" i="163"/>
  <c r="C27" i="163"/>
  <c r="C31" i="163"/>
  <c r="C35" i="163"/>
  <c r="I42" i="162"/>
  <c r="G7" i="162"/>
  <c r="C10" i="162"/>
  <c r="C30" i="162"/>
  <c r="C38" i="162"/>
  <c r="H7" i="162"/>
  <c r="C26" i="162"/>
  <c r="C34" i="162"/>
  <c r="C14" i="162"/>
  <c r="C18" i="162"/>
  <c r="G7" i="161"/>
  <c r="I42" i="161"/>
  <c r="C10" i="161"/>
  <c r="C18" i="161"/>
  <c r="C30" i="161"/>
  <c r="C34" i="161"/>
  <c r="H7" i="161"/>
  <c r="C14" i="161"/>
  <c r="C22" i="161"/>
  <c r="C26" i="161"/>
  <c r="I42" i="160"/>
  <c r="G7" i="160"/>
  <c r="C14" i="160"/>
  <c r="C18" i="160"/>
  <c r="C30" i="160"/>
  <c r="C38" i="160"/>
  <c r="H7" i="160"/>
  <c r="C10" i="160"/>
  <c r="C26" i="160"/>
  <c r="C34" i="160"/>
  <c r="I42" i="159"/>
  <c r="G7" i="159"/>
  <c r="C15" i="159"/>
  <c r="C19" i="159"/>
  <c r="C23" i="159"/>
  <c r="C27" i="159"/>
  <c r="C31" i="159"/>
  <c r="I42" i="158"/>
  <c r="G7" i="158"/>
  <c r="H7" i="158"/>
  <c r="C32" i="158"/>
  <c r="C36" i="158"/>
  <c r="I42" i="157"/>
  <c r="G7" i="157"/>
  <c r="C10" i="157"/>
  <c r="C14" i="157"/>
  <c r="C18" i="157"/>
  <c r="C22" i="157"/>
  <c r="C26" i="157"/>
  <c r="C30" i="157"/>
  <c r="C34" i="157"/>
  <c r="H7" i="157"/>
  <c r="G7" i="156"/>
  <c r="C10" i="156"/>
  <c r="C14" i="156"/>
  <c r="C22" i="156"/>
  <c r="C30" i="156"/>
  <c r="C34" i="156"/>
  <c r="H7" i="156"/>
  <c r="C18" i="156"/>
  <c r="C38" i="156"/>
  <c r="C26" i="156"/>
  <c r="C11" i="156"/>
  <c r="C15" i="156"/>
  <c r="C19" i="156"/>
  <c r="C23" i="156"/>
  <c r="C27" i="156"/>
  <c r="C31" i="156"/>
  <c r="C35" i="156"/>
  <c r="G7" i="155"/>
  <c r="I42" i="155"/>
  <c r="C10" i="155"/>
  <c r="C18" i="155"/>
  <c r="C22" i="155"/>
  <c r="C26" i="155"/>
  <c r="C30" i="155"/>
  <c r="C38" i="155"/>
  <c r="H7" i="155"/>
  <c r="C14" i="155"/>
  <c r="I42" i="154"/>
  <c r="C10" i="154"/>
  <c r="C18" i="154"/>
  <c r="C34" i="154"/>
  <c r="H7" i="154"/>
  <c r="C14" i="154"/>
  <c r="C30" i="154"/>
  <c r="C22" i="154"/>
  <c r="C26" i="154"/>
  <c r="C38" i="154"/>
  <c r="C11" i="154"/>
  <c r="C15" i="154"/>
  <c r="C19" i="154"/>
  <c r="I42" i="153"/>
  <c r="G7" i="153"/>
  <c r="C35" i="153"/>
  <c r="I42" i="152"/>
  <c r="G7" i="152"/>
  <c r="C36" i="152"/>
  <c r="I42" i="151"/>
  <c r="G7" i="151"/>
  <c r="G7" i="150"/>
  <c r="C15" i="150"/>
  <c r="C19" i="150"/>
  <c r="C23" i="150"/>
  <c r="C27" i="150"/>
  <c r="C31" i="150"/>
  <c r="C35" i="150"/>
  <c r="G7" i="149"/>
  <c r="I42" i="149"/>
  <c r="C14" i="149"/>
  <c r="C30" i="149"/>
  <c r="H7" i="149"/>
  <c r="C18" i="149"/>
  <c r="C22" i="149"/>
  <c r="C26" i="149"/>
  <c r="C34" i="149"/>
  <c r="E32" i="1" l="1"/>
  <c r="J41" i="1" l="1"/>
  <c r="H41" i="1"/>
  <c r="I41" i="1" s="1"/>
  <c r="E41" i="1"/>
  <c r="B41" i="1"/>
  <c r="A41" i="1"/>
  <c r="J40" i="1"/>
  <c r="H40" i="1"/>
  <c r="I40" i="1" s="1"/>
  <c r="E40" i="1"/>
  <c r="B40" i="1"/>
  <c r="A40" i="1"/>
  <c r="J39" i="1"/>
  <c r="H39" i="1"/>
  <c r="I39" i="1" s="1"/>
  <c r="E39" i="1"/>
  <c r="B39" i="1"/>
  <c r="A39" i="1"/>
  <c r="J38" i="1"/>
  <c r="H38" i="1"/>
  <c r="I38" i="1" s="1"/>
  <c r="E38" i="1"/>
  <c r="B38" i="1"/>
  <c r="A38" i="1"/>
  <c r="J37" i="1"/>
  <c r="H37" i="1"/>
  <c r="I37" i="1" s="1"/>
  <c r="E37" i="1"/>
  <c r="B37" i="1"/>
  <c r="A37" i="1"/>
  <c r="J36" i="1"/>
  <c r="H36" i="1"/>
  <c r="I36" i="1" s="1"/>
  <c r="E36" i="1"/>
  <c r="B36" i="1"/>
  <c r="A36" i="1"/>
  <c r="J35" i="1"/>
  <c r="H35" i="1"/>
  <c r="I35" i="1" s="1"/>
  <c r="E35" i="1"/>
  <c r="B35" i="1"/>
  <c r="A35" i="1"/>
  <c r="J34" i="1"/>
  <c r="H34" i="1"/>
  <c r="I34" i="1" s="1"/>
  <c r="E34" i="1"/>
  <c r="B34" i="1"/>
  <c r="A34" i="1"/>
  <c r="J33" i="1"/>
  <c r="H33" i="1"/>
  <c r="I33" i="1" s="1"/>
  <c r="E33" i="1"/>
  <c r="B33" i="1"/>
  <c r="A33" i="1"/>
  <c r="J32" i="1"/>
  <c r="H32" i="1"/>
  <c r="I32" i="1" s="1"/>
  <c r="B32" i="1"/>
  <c r="A32" i="1"/>
  <c r="J31" i="1"/>
  <c r="H31" i="1"/>
  <c r="I31" i="1" s="1"/>
  <c r="E31" i="1"/>
  <c r="B31" i="1"/>
  <c r="A31" i="1"/>
  <c r="J30" i="1"/>
  <c r="H30" i="1"/>
  <c r="I30" i="1" s="1"/>
  <c r="E30" i="1"/>
  <c r="B30" i="1"/>
  <c r="A30" i="1"/>
  <c r="J29" i="1"/>
  <c r="H29" i="1"/>
  <c r="I29" i="1" s="1"/>
  <c r="E29" i="1"/>
  <c r="B29" i="1"/>
  <c r="A29" i="1"/>
  <c r="J28" i="1"/>
  <c r="H28" i="1"/>
  <c r="I28" i="1" s="1"/>
  <c r="E28" i="1"/>
  <c r="B28" i="1"/>
  <c r="A28" i="1"/>
  <c r="J27" i="1"/>
  <c r="H27" i="1"/>
  <c r="I27" i="1" s="1"/>
  <c r="E27" i="1"/>
  <c r="B27" i="1"/>
  <c r="A27" i="1"/>
  <c r="J26" i="1"/>
  <c r="H26" i="1"/>
  <c r="I26" i="1" s="1"/>
  <c r="E26" i="1"/>
  <c r="B26" i="1"/>
  <c r="A26" i="1"/>
  <c r="J25" i="1"/>
  <c r="H25" i="1"/>
  <c r="I25" i="1" s="1"/>
  <c r="E25" i="1"/>
  <c r="B25" i="1"/>
  <c r="A25" i="1"/>
  <c r="J24" i="1"/>
  <c r="H24" i="1"/>
  <c r="I24" i="1" s="1"/>
  <c r="E24" i="1"/>
  <c r="B24" i="1"/>
  <c r="A24" i="1"/>
  <c r="J23" i="1"/>
  <c r="H23" i="1"/>
  <c r="I23" i="1" s="1"/>
  <c r="E23" i="1"/>
  <c r="B23" i="1"/>
  <c r="A23" i="1"/>
  <c r="J22" i="1"/>
  <c r="H22" i="1"/>
  <c r="I22" i="1" s="1"/>
  <c r="E22" i="1"/>
  <c r="B22" i="1"/>
  <c r="A22" i="1"/>
  <c r="J21" i="1"/>
  <c r="H21" i="1"/>
  <c r="I21" i="1" s="1"/>
  <c r="E21" i="1"/>
  <c r="B21" i="1"/>
  <c r="A21" i="1"/>
  <c r="J20" i="1"/>
  <c r="H20" i="1"/>
  <c r="I20" i="1" s="1"/>
  <c r="E20" i="1"/>
  <c r="B20" i="1"/>
  <c r="A20" i="1"/>
  <c r="J19" i="1"/>
  <c r="H19" i="1"/>
  <c r="I19" i="1" s="1"/>
  <c r="E19" i="1"/>
  <c r="B19" i="1"/>
  <c r="A19" i="1"/>
  <c r="J18" i="1"/>
  <c r="H18" i="1"/>
  <c r="I18" i="1" s="1"/>
  <c r="E18" i="1"/>
  <c r="B18" i="1"/>
  <c r="A18" i="1"/>
  <c r="J17" i="1"/>
  <c r="H17" i="1"/>
  <c r="I17" i="1" s="1"/>
  <c r="E17" i="1"/>
  <c r="B17" i="1"/>
  <c r="A17" i="1"/>
  <c r="J16" i="1"/>
  <c r="H16" i="1"/>
  <c r="I16" i="1" s="1"/>
  <c r="E16" i="1"/>
  <c r="B16" i="1"/>
  <c r="A16" i="1"/>
  <c r="J15" i="1"/>
  <c r="H15" i="1"/>
  <c r="I15" i="1" s="1"/>
  <c r="E15" i="1"/>
  <c r="B15" i="1"/>
  <c r="A15" i="1"/>
  <c r="J14" i="1"/>
  <c r="H14" i="1"/>
  <c r="I14" i="1" s="1"/>
  <c r="E14" i="1"/>
  <c r="B14" i="1"/>
  <c r="A14" i="1"/>
  <c r="J13" i="1"/>
  <c r="H13" i="1"/>
  <c r="I13" i="1" s="1"/>
  <c r="E13" i="1"/>
  <c r="B13" i="1"/>
  <c r="A13" i="1"/>
  <c r="J12" i="1"/>
  <c r="H12" i="1"/>
  <c r="I12" i="1" s="1"/>
  <c r="E12" i="1"/>
  <c r="B12" i="1"/>
  <c r="A12" i="1"/>
  <c r="J11" i="1"/>
  <c r="H11" i="1"/>
  <c r="I11" i="1" s="1"/>
  <c r="E11" i="1"/>
  <c r="B11" i="1"/>
  <c r="A11" i="1"/>
  <c r="J10" i="1"/>
  <c r="H10" i="1"/>
  <c r="I10" i="1" s="1"/>
  <c r="E10" i="1"/>
  <c r="B10" i="1"/>
  <c r="A10" i="1"/>
  <c r="M5" i="1"/>
  <c r="L5" i="1"/>
  <c r="K5" i="1"/>
  <c r="J5" i="1"/>
  <c r="I5" i="1"/>
  <c r="H5" i="1"/>
  <c r="D1" i="1"/>
  <c r="A1" i="1"/>
  <c r="H7" i="1" l="1"/>
  <c r="C13" i="1"/>
  <c r="C17" i="1"/>
  <c r="C27" i="1"/>
  <c r="C25" i="1"/>
  <c r="C30" i="1"/>
  <c r="C33" i="1"/>
  <c r="C41" i="1"/>
  <c r="C21" i="1"/>
  <c r="C24" i="1"/>
  <c r="C32" i="1"/>
  <c r="C12" i="1"/>
  <c r="C37" i="1"/>
  <c r="C26" i="1"/>
  <c r="C29" i="1"/>
  <c r="C34" i="1"/>
  <c r="C40" i="1"/>
  <c r="C28" i="1"/>
  <c r="C11" i="1"/>
  <c r="C38" i="1"/>
  <c r="C36" i="1"/>
  <c r="C19" i="1"/>
  <c r="C31" i="1"/>
  <c r="C35" i="1"/>
  <c r="C39" i="1"/>
  <c r="G7" i="1"/>
  <c r="I42" i="1"/>
  <c r="C23" i="1"/>
  <c r="C15" i="1"/>
  <c r="C10" i="1"/>
  <c r="J42" i="1"/>
  <c r="C14" i="1"/>
  <c r="C16" i="1"/>
  <c r="C18" i="1"/>
  <c r="C20" i="1"/>
  <c r="C22" i="1"/>
</calcChain>
</file>

<file path=xl/sharedStrings.xml><?xml version="1.0" encoding="utf-8"?>
<sst xmlns="http://schemas.openxmlformats.org/spreadsheetml/2006/main" count="1853" uniqueCount="97">
  <si>
    <t>使用方法</t>
  </si>
  <si>
    <t>「設定」シートで　年　と　月度　、月日を設定します。</t>
  </si>
  <si>
    <t>新規勤怠管理シートの追加で、社員No.（これは 所属 等に変更してもかまいません）、氏名を入力して追加ボタンを押すと</t>
  </si>
  <si>
    <t>入力した氏名の勤怠管理シートが追加されます。</t>
  </si>
  <si>
    <t>それぞれの勤怠管理シートで、</t>
  </si>
  <si>
    <t>D列に</t>
  </si>
  <si>
    <t>出勤</t>
  </si>
  <si>
    <t>を入力すると勤怠の集計ができます。</t>
  </si>
  <si>
    <t>欠勤</t>
  </si>
  <si>
    <t>遅刻</t>
  </si>
  <si>
    <t>早退</t>
  </si>
  <si>
    <t>休日出勤</t>
  </si>
  <si>
    <t>有給休暇</t>
  </si>
  <si>
    <t>始業時刻、終業時刻、休憩時間を入力することで、残業時間を自動計算します。</t>
  </si>
  <si>
    <t>年・月度の設定</t>
  </si>
  <si>
    <t>新規勤怠管理シートの追加</t>
  </si>
  <si>
    <t>年</t>
  </si>
  <si>
    <t>月</t>
  </si>
  <si>
    <t>社員No.</t>
  </si>
  <si>
    <t>月・日設定</t>
  </si>
  <si>
    <t>氏名</t>
  </si>
  <si>
    <t>所定労働時間の設定</t>
  </si>
  <si>
    <t>～</t>
  </si>
  <si>
    <t>休憩時間</t>
  </si>
  <si>
    <t>月度</t>
  </si>
  <si>
    <t>勤怠（code）</t>
  </si>
  <si>
    <t>要出勤日数</t>
  </si>
  <si>
    <t>出勤日数</t>
  </si>
  <si>
    <t>欠勤日数</t>
  </si>
  <si>
    <t>遅刻日数</t>
  </si>
  <si>
    <t>早退日数</t>
  </si>
  <si>
    <t>Tham dự</t>
  </si>
  <si>
    <t>Vắng mặt</t>
  </si>
  <si>
    <t>勤務時間</t>
  </si>
  <si>
    <t>残業時間</t>
  </si>
  <si>
    <t>Muộn</t>
  </si>
  <si>
    <t>Rời sớm</t>
  </si>
  <si>
    <t>Làm việc vào kỳ nghỉ</t>
  </si>
  <si>
    <t>日</t>
  </si>
  <si>
    <t>曜日</t>
  </si>
  <si>
    <t>勤怠
code</t>
  </si>
  <si>
    <t>始業時刻
start time</t>
  </si>
  <si>
    <t>終業時刻
end time</t>
  </si>
  <si>
    <t>休憩
rest</t>
  </si>
  <si>
    <t>勤務時間
work time</t>
  </si>
  <si>
    <t>作業内容</t>
  </si>
  <si>
    <t>Paid vacation</t>
  </si>
  <si>
    <t>Hoang Duc Huy</t>
  </si>
  <si>
    <t>Duong Van Thanh</t>
  </si>
  <si>
    <t>Bui Khanh Huy</t>
  </si>
  <si>
    <t>Huynh Anh Du</t>
  </si>
  <si>
    <t>Nguyen Tan Quyen</t>
  </si>
  <si>
    <t>Tran Nhat Khue</t>
  </si>
  <si>
    <t>Phan Thi My Linh</t>
  </si>
  <si>
    <t>Pham Van Duy</t>
  </si>
  <si>
    <t>Nguyen Cong Hiep</t>
  </si>
  <si>
    <t>Nguyen Le Phu Thinh</t>
  </si>
  <si>
    <t>Vo Thanh Phong</t>
  </si>
  <si>
    <t>Hoang Thi Loc</t>
  </si>
  <si>
    <t>Phan Minh Tri</t>
  </si>
  <si>
    <t>Do Thanh Tai</t>
  </si>
  <si>
    <t>Dinh Phuong Nam</t>
  </si>
  <si>
    <t>Nguyen Thi Tuyet Nhung</t>
  </si>
  <si>
    <t>Hoang Thi Bao Tran</t>
  </si>
  <si>
    <t>Do Ngoc Quang</t>
  </si>
  <si>
    <t>Le Trach Dinh</t>
  </si>
  <si>
    <t>Nguyen Thien An</t>
  </si>
  <si>
    <t>Nguyen Trieu Duong</t>
  </si>
  <si>
    <t>Nguyen Anh Kiet</t>
  </si>
  <si>
    <t>Le Van Quy</t>
  </si>
  <si>
    <t>Nguyen Phuc Nguyen Chuong</t>
  </si>
  <si>
    <t>Le Anh Duy</t>
  </si>
  <si>
    <t>Nguyen Van Hao</t>
  </si>
  <si>
    <t>Bui The Hung</t>
  </si>
  <si>
    <t>Nguyen Dung</t>
  </si>
  <si>
    <t>Tran Thai Duy</t>
  </si>
  <si>
    <t>Nguyen Hong Tu</t>
  </si>
  <si>
    <t>Tran Chi My</t>
  </si>
  <si>
    <t>Doan Tu Quynh</t>
  </si>
  <si>
    <t>Nguyen Duc Thien</t>
  </si>
  <si>
    <t>Nguyen Hai Yen</t>
  </si>
  <si>
    <t>Truong Nguyen Yen Ly</t>
  </si>
  <si>
    <t>Le Tien Hai</t>
  </si>
  <si>
    <t>Truong Trong Thanh</t>
  </si>
  <si>
    <t>Dang Trong Phu</t>
  </si>
  <si>
    <t>Do Van Vinh</t>
  </si>
  <si>
    <t>Le Thi Yen Nguyet</t>
  </si>
  <si>
    <t>Doan Thi Truc Quyen</t>
  </si>
  <si>
    <t>Ta Ly Minh</t>
  </si>
  <si>
    <t>Le Cao Tuan Anh</t>
  </si>
  <si>
    <t>Nguyen Tran Hoai Phong</t>
  </si>
  <si>
    <t>Nguyen Phuoc Hao</t>
  </si>
  <si>
    <t>Nguyen Chi Linh</t>
  </si>
  <si>
    <t>Khong Huu Toan</t>
  </si>
  <si>
    <t>Hoang Quoc Tu</t>
  </si>
  <si>
    <t>Nguyen Chi Bao</t>
  </si>
  <si>
    <t>Phan Vu Hoang Ngan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</si>
</sst>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h]:mm"/>
  </numFmts>
  <fonts count="31">
    <font>
      <sz val="11"/>
      <color theme="1"/>
      <name val="Calibri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0"/>
      <color rgb="FF000000"/>
      <name val="MS PGothic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27" fillId="0" borderId="0">
      <alignment vertical="center"/>
    </xf>
  </cellStyleXfs>
  <cellXfs count="146">
    <xf numFmtId="0" fontId="0" fillId="0" borderId="0" xfId="0">
      <alignment vertical="center"/>
    </xf>
    <xf numFmtId="0" fontId="14" fillId="0" borderId="0" xfId="0" applyFont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7" fillId="0" borderId="0" xfId="0" applyFont="1" applyAlignment="1">
      <alignment vertical="center" shrinkToFit="1"/>
    </xf>
    <xf numFmtId="0" fontId="16" fillId="2" borderId="2" xfId="0" applyFont="1" applyFill="1" applyBorder="1" applyAlignment="1">
      <alignment vertical="center" shrinkToFit="1"/>
    </xf>
    <xf numFmtId="0" fontId="16" fillId="2" borderId="2" xfId="0" applyFont="1" applyFill="1" applyBorder="1" applyAlignment="1">
      <alignment horizontal="center" vertical="center" shrinkToFit="1"/>
    </xf>
    <xf numFmtId="0" fontId="16" fillId="0" borderId="2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 vertical="center" shrinkToFit="1"/>
    </xf>
    <xf numFmtId="0" fontId="16" fillId="2" borderId="2" xfId="0" applyFont="1" applyFill="1" applyBorder="1" applyAlignment="1">
      <alignment horizontal="center" vertical="center" wrapText="1" shrinkToFit="1"/>
    </xf>
    <xf numFmtId="165" fontId="16" fillId="0" borderId="2" xfId="0" applyNumberFormat="1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3" borderId="2" xfId="0" applyFont="1" applyFill="1" applyBorder="1" applyAlignment="1">
      <alignment horizontal="center" vertical="center" shrinkToFit="1"/>
    </xf>
    <xf numFmtId="0" fontId="14" fillId="4" borderId="3" xfId="0" applyFont="1" applyFill="1" applyBorder="1" applyAlignment="1">
      <alignment horizontal="center" vertical="center" wrapText="1" shrinkToFit="1"/>
    </xf>
    <xf numFmtId="0" fontId="14" fillId="4" borderId="2" xfId="0" applyFont="1" applyFill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shrinkToFit="1"/>
    </xf>
    <xf numFmtId="0" fontId="14" fillId="0" borderId="5" xfId="0" applyFont="1" applyBorder="1" applyAlignment="1">
      <alignment horizontal="center" vertical="center" shrinkToFit="1"/>
    </xf>
    <xf numFmtId="0" fontId="14" fillId="0" borderId="6" xfId="0" applyFont="1" applyBorder="1" applyAlignment="1">
      <alignment horizontal="center" vertical="center" shrinkToFit="1"/>
    </xf>
    <xf numFmtId="165" fontId="14" fillId="5" borderId="7" xfId="0" applyNumberFormat="1" applyFont="1" applyFill="1" applyBorder="1" applyAlignment="1">
      <alignment horizontal="center" vertical="center" shrinkToFit="1"/>
    </xf>
    <xf numFmtId="165" fontId="14" fillId="5" borderId="8" xfId="0" applyNumberFormat="1" applyFont="1" applyFill="1" applyBorder="1" applyAlignment="1">
      <alignment horizontal="center" vertical="center" shrinkToFit="1"/>
    </xf>
    <xf numFmtId="165" fontId="14" fillId="6" borderId="9" xfId="0" applyNumberFormat="1" applyFont="1" applyFill="1" applyBorder="1" applyAlignment="1">
      <alignment horizontal="center" vertical="center" shrinkToFit="1"/>
    </xf>
    <xf numFmtId="0" fontId="14" fillId="0" borderId="10" xfId="0" applyFont="1" applyBorder="1" applyAlignment="1">
      <alignment horizontal="center" vertical="center" shrinkToFit="1"/>
    </xf>
    <xf numFmtId="0" fontId="14" fillId="5" borderId="11" xfId="0" applyFont="1" applyFill="1" applyBorder="1" applyAlignment="1">
      <alignment horizontal="center" vertical="center" shrinkToFit="1"/>
    </xf>
    <xf numFmtId="0" fontId="14" fillId="0" borderId="12" xfId="0" applyFont="1" applyBorder="1" applyAlignment="1">
      <alignment horizontal="center" vertical="center" shrinkToFit="1"/>
    </xf>
    <xf numFmtId="165" fontId="14" fillId="5" borderId="13" xfId="0" applyNumberFormat="1" applyFont="1" applyFill="1" applyBorder="1" applyAlignment="1">
      <alignment horizontal="center" vertical="center" shrinkToFit="1"/>
    </xf>
    <xf numFmtId="165" fontId="14" fillId="5" borderId="14" xfId="0" applyNumberFormat="1" applyFont="1" applyFill="1" applyBorder="1" applyAlignment="1">
      <alignment horizontal="center" vertical="center" shrinkToFit="1"/>
    </xf>
    <xf numFmtId="165" fontId="14" fillId="6" borderId="15" xfId="0" applyNumberFormat="1" applyFont="1" applyFill="1" applyBorder="1" applyAlignment="1">
      <alignment horizontal="center" vertical="center" shrinkToFit="1"/>
    </xf>
    <xf numFmtId="0" fontId="14" fillId="5" borderId="16" xfId="0" applyFont="1" applyFill="1" applyBorder="1" applyAlignment="1">
      <alignment horizontal="center" vertical="center" shrinkToFit="1"/>
    </xf>
    <xf numFmtId="0" fontId="14" fillId="0" borderId="17" xfId="0" applyFont="1" applyBorder="1" applyAlignment="1">
      <alignment horizontal="center" vertical="center" shrinkToFit="1"/>
    </xf>
    <xf numFmtId="165" fontId="14" fillId="5" borderId="18" xfId="0" applyNumberFormat="1" applyFont="1" applyFill="1" applyBorder="1" applyAlignment="1">
      <alignment horizontal="center" vertical="center" shrinkToFit="1"/>
    </xf>
    <xf numFmtId="165" fontId="14" fillId="5" borderId="19" xfId="0" applyNumberFormat="1" applyFont="1" applyFill="1" applyBorder="1" applyAlignment="1">
      <alignment horizontal="center" vertical="center" shrinkToFit="1"/>
    </xf>
    <xf numFmtId="0" fontId="20" fillId="3" borderId="20" xfId="0" applyFont="1" applyFill="1" applyBorder="1" applyAlignment="1">
      <alignment horizontal="center" vertical="center" shrinkToFit="1"/>
    </xf>
    <xf numFmtId="0" fontId="20" fillId="3" borderId="21" xfId="0" applyFont="1" applyFill="1" applyBorder="1" applyAlignment="1">
      <alignment horizontal="center" vertical="center" shrinkToFit="1"/>
    </xf>
    <xf numFmtId="0" fontId="20" fillId="3" borderId="22" xfId="0" applyFont="1" applyFill="1" applyBorder="1" applyAlignment="1">
      <alignment horizontal="center" vertical="center" shrinkToFit="1"/>
    </xf>
    <xf numFmtId="0" fontId="20" fillId="3" borderId="23" xfId="0" applyFont="1" applyFill="1" applyBorder="1" applyAlignment="1">
      <alignment horizontal="center" vertical="center" shrinkToFit="1"/>
    </xf>
    <xf numFmtId="0" fontId="14" fillId="0" borderId="0" xfId="0" applyFont="1" applyAlignment="1">
      <alignment horizontal="left" vertical="center"/>
    </xf>
    <xf numFmtId="0" fontId="14" fillId="2" borderId="2" xfId="0" applyFont="1" applyFill="1" applyBorder="1" applyAlignment="1">
      <alignment horizontal="center" vertical="center" shrinkToFit="1"/>
    </xf>
    <xf numFmtId="0" fontId="14" fillId="0" borderId="0" xfId="0" applyFont="1">
      <alignment vertical="center"/>
    </xf>
    <xf numFmtId="165" fontId="14" fillId="0" borderId="4" xfId="0" applyNumberFormat="1" applyFont="1" applyBorder="1" applyAlignment="1">
      <alignment horizontal="center" vertical="center" shrinkToFit="1"/>
    </xf>
    <xf numFmtId="165" fontId="14" fillId="0" borderId="10" xfId="0" applyNumberFormat="1" applyFont="1" applyBorder="1" applyAlignment="1">
      <alignment horizontal="center" vertical="center" shrinkToFit="1"/>
    </xf>
    <xf numFmtId="20" fontId="14" fillId="0" borderId="0" xfId="0" applyNumberFormat="1" applyFont="1" applyAlignment="1">
      <alignment horizontal="center" vertical="center" shrinkToFit="1"/>
    </xf>
    <xf numFmtId="165" fontId="14" fillId="0" borderId="27" xfId="0" applyNumberFormat="1" applyFont="1" applyBorder="1" applyAlignment="1">
      <alignment horizontal="center" vertical="center" shrinkToFit="1"/>
    </xf>
    <xf numFmtId="165" fontId="20" fillId="3" borderId="2" xfId="0" applyNumberFormat="1" applyFont="1" applyFill="1" applyBorder="1" applyAlignment="1">
      <alignment horizontal="center" vertical="center" shrinkToFit="1"/>
    </xf>
    <xf numFmtId="0" fontId="0" fillId="3" borderId="30" xfId="0" applyFill="1" applyBorder="1">
      <alignment vertical="center"/>
    </xf>
    <xf numFmtId="0" fontId="0" fillId="3" borderId="31" xfId="0" applyFill="1" applyBorder="1">
      <alignment vertical="center"/>
    </xf>
    <xf numFmtId="0" fontId="0" fillId="3" borderId="32" xfId="0" applyFill="1" applyBorder="1">
      <alignment vertical="center"/>
    </xf>
    <xf numFmtId="0" fontId="0" fillId="3" borderId="33" xfId="0" applyFill="1" applyBorder="1">
      <alignment vertical="center"/>
    </xf>
    <xf numFmtId="0" fontId="0" fillId="3" borderId="34" xfId="0" applyFill="1" applyBorder="1">
      <alignment vertical="center"/>
    </xf>
    <xf numFmtId="0" fontId="0" fillId="3" borderId="0" xfId="0" applyFill="1">
      <alignment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3" borderId="35" xfId="0" applyFill="1" applyBorder="1">
      <alignment vertical="center"/>
    </xf>
    <xf numFmtId="0" fontId="0" fillId="3" borderId="43" xfId="0" applyFill="1" applyBorder="1">
      <alignment vertical="center"/>
    </xf>
    <xf numFmtId="0" fontId="0" fillId="6" borderId="33" xfId="0" applyFill="1" applyBorder="1">
      <alignment vertical="center"/>
    </xf>
    <xf numFmtId="0" fontId="0" fillId="6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6" borderId="34" xfId="0" applyFill="1" applyBorder="1">
      <alignment vertical="center"/>
    </xf>
    <xf numFmtId="0" fontId="0" fillId="6" borderId="0" xfId="0" applyFill="1">
      <alignment vertical="center"/>
    </xf>
    <xf numFmtId="0" fontId="24" fillId="6" borderId="43" xfId="0" applyFont="1" applyFill="1" applyBorder="1">
      <alignment vertical="center"/>
    </xf>
    <xf numFmtId="0" fontId="0" fillId="6" borderId="36" xfId="0" applyFill="1" applyBorder="1">
      <alignment vertical="center"/>
    </xf>
    <xf numFmtId="0" fontId="14" fillId="5" borderId="44" xfId="0" applyFont="1" applyFill="1" applyBorder="1" applyAlignment="1">
      <alignment horizontal="center" vertical="center" shrinkToFit="1"/>
    </xf>
    <xf numFmtId="0" fontId="13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14" fillId="5" borderId="45" xfId="0" applyFont="1" applyFill="1" applyBorder="1" applyAlignment="1">
      <alignment horizontal="center" vertical="center" shrinkToFit="1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1" fillId="0" borderId="0" xfId="0" applyFont="1">
      <alignment vertical="center"/>
    </xf>
    <xf numFmtId="0" fontId="29" fillId="0" borderId="42" xfId="0" applyFont="1" applyBorder="1" applyAlignment="1">
      <alignment horizontal="center" vertical="center"/>
    </xf>
    <xf numFmtId="0" fontId="30" fillId="6" borderId="0" xfId="0" applyFont="1" applyFill="1">
      <alignment vertical="center"/>
    </xf>
    <xf numFmtId="0" fontId="30" fillId="0" borderId="0" xfId="0" applyFont="1">
      <alignment vertical="center"/>
    </xf>
    <xf numFmtId="0" fontId="23" fillId="3" borderId="37" xfId="0" applyFont="1" applyFill="1" applyBorder="1" applyAlignment="1">
      <alignment horizontal="center" vertical="center"/>
    </xf>
    <xf numFmtId="0" fontId="23" fillId="3" borderId="3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32" xfId="0" applyFont="1" applyFill="1" applyBorder="1" applyAlignment="1">
      <alignment horizontal="center" vertical="center"/>
    </xf>
    <xf numFmtId="0" fontId="21" fillId="3" borderId="39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35" xfId="0" applyFont="1" applyFill="1" applyBorder="1" applyAlignment="1">
      <alignment horizontal="center" vertical="center"/>
    </xf>
    <xf numFmtId="0" fontId="21" fillId="3" borderId="36" xfId="0" applyFont="1" applyFill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5" fillId="6" borderId="30" xfId="0" applyFont="1" applyFill="1" applyBorder="1" applyAlignment="1">
      <alignment horizontal="center" vertical="center"/>
    </xf>
    <xf numFmtId="0" fontId="25" fillId="6" borderId="31" xfId="0" applyFont="1" applyFill="1" applyBorder="1" applyAlignment="1">
      <alignment horizontal="center" vertical="center"/>
    </xf>
    <xf numFmtId="0" fontId="25" fillId="6" borderId="32" xfId="0" applyFont="1" applyFill="1" applyBorder="1" applyAlignment="1">
      <alignment horizontal="center" vertical="center"/>
    </xf>
    <xf numFmtId="0" fontId="25" fillId="6" borderId="35" xfId="0" applyFont="1" applyFill="1" applyBorder="1" applyAlignment="1">
      <alignment horizontal="center" vertical="center"/>
    </xf>
    <xf numFmtId="0" fontId="25" fillId="6" borderId="43" xfId="0" applyFont="1" applyFill="1" applyBorder="1" applyAlignment="1">
      <alignment horizontal="center" vertical="center"/>
    </xf>
    <xf numFmtId="0" fontId="25" fillId="6" borderId="36" xfId="0" applyFont="1" applyFill="1" applyBorder="1" applyAlignment="1">
      <alignment horizontal="center" vertical="center"/>
    </xf>
    <xf numFmtId="0" fontId="21" fillId="6" borderId="30" xfId="0" applyFont="1" applyFill="1" applyBorder="1" applyAlignment="1">
      <alignment horizontal="center" vertical="center"/>
    </xf>
    <xf numFmtId="0" fontId="21" fillId="6" borderId="31" xfId="0" applyFont="1" applyFill="1" applyBorder="1" applyAlignment="1">
      <alignment horizontal="center" vertical="center"/>
    </xf>
    <xf numFmtId="0" fontId="21" fillId="6" borderId="32" xfId="0" applyFont="1" applyFill="1" applyBorder="1" applyAlignment="1">
      <alignment horizontal="center" vertical="center"/>
    </xf>
    <xf numFmtId="0" fontId="21" fillId="6" borderId="35" xfId="0" applyFont="1" applyFill="1" applyBorder="1" applyAlignment="1">
      <alignment horizontal="center" vertical="center"/>
    </xf>
    <xf numFmtId="0" fontId="21" fillId="6" borderId="43" xfId="0" applyFont="1" applyFill="1" applyBorder="1" applyAlignment="1">
      <alignment horizontal="center" vertical="center"/>
    </xf>
    <xf numFmtId="0" fontId="21" fillId="6" borderId="36" xfId="0" applyFont="1" applyFill="1" applyBorder="1" applyAlignment="1">
      <alignment horizontal="center" vertical="center"/>
    </xf>
    <xf numFmtId="0" fontId="15" fillId="4" borderId="30" xfId="0" applyFont="1" applyFill="1" applyBorder="1" applyAlignment="1">
      <alignment horizontal="center" vertical="center"/>
    </xf>
    <xf numFmtId="0" fontId="15" fillId="4" borderId="31" xfId="0" applyFont="1" applyFill="1" applyBorder="1" applyAlignment="1">
      <alignment horizontal="center" vertical="center"/>
    </xf>
    <xf numFmtId="0" fontId="15" fillId="4" borderId="32" xfId="0" applyFont="1" applyFill="1" applyBorder="1" applyAlignment="1">
      <alignment horizontal="center" vertical="center"/>
    </xf>
    <xf numFmtId="0" fontId="15" fillId="4" borderId="35" xfId="0" applyFont="1" applyFill="1" applyBorder="1" applyAlignment="1">
      <alignment horizontal="center" vertical="center"/>
    </xf>
    <xf numFmtId="0" fontId="15" fillId="4" borderId="43" xfId="0" applyFont="1" applyFill="1" applyBorder="1" applyAlignment="1">
      <alignment horizontal="center" vertical="center"/>
    </xf>
    <xf numFmtId="0" fontId="15" fillId="4" borderId="36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164" fontId="24" fillId="6" borderId="30" xfId="0" applyNumberFormat="1" applyFont="1" applyFill="1" applyBorder="1" applyAlignment="1">
      <alignment horizontal="center" vertical="center"/>
    </xf>
    <xf numFmtId="164" fontId="24" fillId="6" borderId="32" xfId="0" applyNumberFormat="1" applyFont="1" applyFill="1" applyBorder="1" applyAlignment="1">
      <alignment horizontal="center" vertical="center"/>
    </xf>
    <xf numFmtId="164" fontId="24" fillId="6" borderId="35" xfId="0" applyNumberFormat="1" applyFont="1" applyFill="1" applyBorder="1" applyAlignment="1">
      <alignment horizontal="center" vertical="center"/>
    </xf>
    <xf numFmtId="164" fontId="24" fillId="6" borderId="36" xfId="0" applyNumberFormat="1" applyFont="1" applyFill="1" applyBorder="1" applyAlignment="1">
      <alignment horizontal="center" vertical="center"/>
    </xf>
    <xf numFmtId="0" fontId="21" fillId="6" borderId="33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1" fillId="6" borderId="34" xfId="0" applyFont="1" applyFill="1" applyBorder="1" applyAlignment="1">
      <alignment horizontal="center" vertical="center"/>
    </xf>
    <xf numFmtId="20" fontId="24" fillId="6" borderId="30" xfId="0" applyNumberFormat="1" applyFont="1" applyFill="1" applyBorder="1" applyAlignment="1">
      <alignment horizontal="center" vertical="center"/>
    </xf>
    <xf numFmtId="0" fontId="24" fillId="6" borderId="32" xfId="0" applyFont="1" applyFill="1" applyBorder="1" applyAlignment="1">
      <alignment horizontal="center" vertical="center"/>
    </xf>
    <xf numFmtId="0" fontId="24" fillId="6" borderId="35" xfId="0" applyFont="1" applyFill="1" applyBorder="1" applyAlignment="1">
      <alignment horizontal="center" vertical="center"/>
    </xf>
    <xf numFmtId="0" fontId="24" fillId="6" borderId="36" xfId="0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165" fontId="14" fillId="0" borderId="28" xfId="0" applyNumberFormat="1" applyFont="1" applyBorder="1" applyAlignment="1">
      <alignment horizontal="left" vertical="center" shrinkToFit="1"/>
    </xf>
    <xf numFmtId="165" fontId="14" fillId="0" borderId="17" xfId="0" applyNumberFormat="1" applyFont="1" applyBorder="1" applyAlignment="1">
      <alignment horizontal="left" vertical="center" shrinkToFit="1"/>
    </xf>
    <xf numFmtId="165" fontId="14" fillId="0" borderId="29" xfId="0" applyNumberFormat="1" applyFont="1" applyBorder="1" applyAlignment="1">
      <alignment horizontal="left" vertical="center" shrinkToFit="1"/>
    </xf>
    <xf numFmtId="165" fontId="20" fillId="3" borderId="20" xfId="0" applyNumberFormat="1" applyFont="1" applyFill="1" applyBorder="1" applyAlignment="1">
      <alignment horizontal="left" vertical="center" shrinkToFit="1"/>
    </xf>
    <xf numFmtId="165" fontId="20" fillId="3" borderId="21" xfId="0" applyNumberFormat="1" applyFont="1" applyFill="1" applyBorder="1" applyAlignment="1">
      <alignment horizontal="left" vertical="center" shrinkToFit="1"/>
    </xf>
    <xf numFmtId="165" fontId="20" fillId="3" borderId="23" xfId="0" applyNumberFormat="1" applyFont="1" applyFill="1" applyBorder="1" applyAlignment="1">
      <alignment horizontal="left" vertical="center" shrinkToFit="1"/>
    </xf>
    <xf numFmtId="0" fontId="17" fillId="0" borderId="2" xfId="0" applyFont="1" applyBorder="1" applyAlignment="1">
      <alignment horizontal="center" vertical="center" shrinkToFit="1"/>
    </xf>
    <xf numFmtId="0" fontId="18" fillId="0" borderId="2" xfId="0" applyFont="1" applyBorder="1" applyAlignment="1">
      <alignment horizontal="center" vertical="center" shrinkToFit="1"/>
    </xf>
    <xf numFmtId="165" fontId="14" fillId="0" borderId="5" xfId="0" applyNumberFormat="1" applyFont="1" applyBorder="1" applyAlignment="1">
      <alignment horizontal="left" vertical="center" wrapText="1" shrinkToFit="1"/>
    </xf>
    <xf numFmtId="165" fontId="14" fillId="0" borderId="12" xfId="0" applyNumberFormat="1" applyFont="1" applyBorder="1" applyAlignment="1">
      <alignment horizontal="left" vertical="center" shrinkToFit="1"/>
    </xf>
    <xf numFmtId="165" fontId="14" fillId="0" borderId="15" xfId="0" applyNumberFormat="1" applyFont="1" applyBorder="1" applyAlignment="1">
      <alignment horizontal="left" vertical="center" shrinkToFit="1"/>
    </xf>
    <xf numFmtId="165" fontId="14" fillId="0" borderId="5" xfId="0" applyNumberFormat="1" applyFont="1" applyBorder="1" applyAlignment="1">
      <alignment horizontal="left" vertical="center" shrinkToFit="1"/>
    </xf>
    <xf numFmtId="0" fontId="15" fillId="0" borderId="1" xfId="0" applyFont="1" applyBorder="1" applyAlignment="1">
      <alignment horizontal="center" vertical="center" shrinkToFit="1"/>
    </xf>
    <xf numFmtId="0" fontId="19" fillId="4" borderId="3" xfId="0" applyFont="1" applyFill="1" applyBorder="1" applyAlignment="1">
      <alignment horizontal="center" vertical="center" wrapText="1" shrinkToFit="1"/>
    </xf>
    <xf numFmtId="0" fontId="19" fillId="4" borderId="2" xfId="0" applyFont="1" applyFill="1" applyBorder="1" applyAlignment="1">
      <alignment horizontal="center" vertical="center" shrinkToFit="1"/>
    </xf>
    <xf numFmtId="0" fontId="14" fillId="4" borderId="20" xfId="0" applyFont="1" applyFill="1" applyBorder="1" applyAlignment="1">
      <alignment horizontal="center" vertical="center" wrapText="1" shrinkToFit="1"/>
    </xf>
    <xf numFmtId="0" fontId="14" fillId="4" borderId="21" xfId="0" applyFont="1" applyFill="1" applyBorder="1" applyAlignment="1">
      <alignment horizontal="center" vertical="center" wrapText="1" shrinkToFit="1"/>
    </xf>
    <xf numFmtId="0" fontId="14" fillId="4" borderId="23" xfId="0" applyFont="1" applyFill="1" applyBorder="1" applyAlignment="1">
      <alignment horizontal="center" vertical="center" wrapText="1" shrinkToFit="1"/>
    </xf>
    <xf numFmtId="165" fontId="14" fillId="0" borderId="24" xfId="0" applyNumberFormat="1" applyFont="1" applyBorder="1" applyAlignment="1">
      <alignment horizontal="left" vertical="center" shrinkToFit="1"/>
    </xf>
    <xf numFmtId="165" fontId="14" fillId="0" borderId="25" xfId="0" applyNumberFormat="1" applyFont="1" applyBorder="1" applyAlignment="1">
      <alignment horizontal="left" vertical="center" shrinkToFit="1"/>
    </xf>
    <xf numFmtId="165" fontId="14" fillId="0" borderId="26" xfId="0" applyNumberFormat="1" applyFont="1" applyBorder="1" applyAlignment="1">
      <alignment horizontal="left" vertical="center" shrinkToFit="1"/>
    </xf>
  </cellXfs>
  <cellStyles count="2">
    <cellStyle name="Normal" xfId="0" builtinId="0"/>
    <cellStyle name="標準 2" xfId="1" xr:uid="{00000000-0005-0000-0000-000001000000}"/>
  </cellStyles>
  <dxfs count="255"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  <dxf>
      <font>
        <color theme="0"/>
      </font>
    </dxf>
    <dxf>
      <font>
        <color rgb="FF0B02BE"/>
      </font>
    </dxf>
    <dxf>
      <font>
        <color rgb="FFFF0000"/>
      </font>
    </dxf>
    <dxf>
      <font>
        <color rgb="FF0B02BE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11</xdr:row>
          <xdr:rowOff>38100</xdr:rowOff>
        </xdr:from>
        <xdr:to>
          <xdr:col>14</xdr:col>
          <xdr:colOff>38100</xdr:colOff>
          <xdr:row>13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勤怠管理シートの追加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E15"/>
  <sheetViews>
    <sheetView zoomScale="85" zoomScaleNormal="85" workbookViewId="0"/>
  </sheetViews>
  <sheetFormatPr defaultColWidth="9" defaultRowHeight="18" customHeight="1"/>
  <cols>
    <col min="1" max="1" width="9" style="38" customWidth="1"/>
    <col min="2" max="2" width="9.453125" style="38" customWidth="1"/>
    <col min="3" max="3" width="2.453125" style="38" customWidth="1"/>
    <col min="4" max="4" width="9" style="38" customWidth="1"/>
    <col min="5" max="16384" width="9" style="38"/>
  </cols>
  <sheetData>
    <row r="2" spans="2:5" ht="18" customHeight="1">
      <c r="B2" s="38" t="s">
        <v>0</v>
      </c>
    </row>
    <row r="4" spans="2:5" ht="18" customHeight="1">
      <c r="B4" s="38" t="s">
        <v>1</v>
      </c>
    </row>
    <row r="5" spans="2:5" ht="18" customHeight="1">
      <c r="B5" s="38" t="s">
        <v>2</v>
      </c>
    </row>
    <row r="6" spans="2:5" ht="18" customHeight="1">
      <c r="B6" s="38" t="s">
        <v>3</v>
      </c>
    </row>
    <row r="8" spans="2:5" ht="18" customHeight="1">
      <c r="B8" s="38" t="s">
        <v>4</v>
      </c>
    </row>
    <row r="9" spans="2:5" ht="18" customHeight="1">
      <c r="B9" s="38" t="s">
        <v>5</v>
      </c>
      <c r="C9" s="38">
        <v>1</v>
      </c>
      <c r="D9" s="38" t="s">
        <v>6</v>
      </c>
      <c r="E9" s="38" t="s">
        <v>7</v>
      </c>
    </row>
    <row r="10" spans="2:5" ht="18" customHeight="1">
      <c r="C10" s="38">
        <v>2</v>
      </c>
    </row>
    <row r="11" spans="2:5" ht="18" customHeight="1">
      <c r="C11" s="38">
        <v>3</v>
      </c>
    </row>
    <row r="12" spans="2:5" ht="18" customHeight="1">
      <c r="C12" s="38">
        <v>4</v>
      </c>
    </row>
    <row r="13" spans="2:5" ht="18" customHeight="1">
      <c r="C13" s="38">
        <v>5</v>
      </c>
    </row>
    <row r="14" spans="2:5" ht="18" customHeight="1">
      <c r="C14" s="38">
        <v>6</v>
      </c>
    </row>
    <row r="15" spans="2:5" ht="18" customHeight="1">
      <c r="B15" s="38" t="s">
        <v>13</v>
      </c>
    </row>
  </sheetData>
  <phoneticPr fontId="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2:R58"/>
  <sheetViews>
    <sheetView zoomScale="85" zoomScaleNormal="85" workbookViewId="0"/>
  </sheetViews>
  <sheetFormatPr defaultColWidth="9" defaultRowHeight="15" customHeight="1"/>
  <cols>
    <col min="1" max="1" width="3.08984375" customWidth="1"/>
    <col min="3" max="4" width="17.453125" customWidth="1"/>
    <col min="5" max="5" width="9" customWidth="1"/>
    <col min="6" max="6" width="3.08984375" customWidth="1"/>
    <col min="7" max="16" width="9" customWidth="1"/>
    <col min="17" max="17" width="3.08984375" customWidth="1"/>
  </cols>
  <sheetData>
    <row r="2" spans="2:18" ht="15" customHeight="1" thickBot="1">
      <c r="B2" s="44"/>
      <c r="C2" s="45"/>
      <c r="D2" s="45"/>
      <c r="E2" s="46"/>
      <c r="G2" s="44"/>
      <c r="H2" s="45"/>
      <c r="I2" s="45"/>
      <c r="J2" s="45"/>
      <c r="K2" s="45"/>
      <c r="L2" s="45"/>
      <c r="M2" s="45"/>
      <c r="N2" s="45"/>
      <c r="O2" s="45"/>
      <c r="P2" s="46"/>
    </row>
    <row r="3" spans="2:18" ht="15" customHeight="1">
      <c r="B3" s="47"/>
      <c r="C3" s="81" t="s">
        <v>14</v>
      </c>
      <c r="D3" s="82"/>
      <c r="E3" s="48"/>
      <c r="G3" s="47"/>
      <c r="H3" s="95" t="s">
        <v>15</v>
      </c>
      <c r="I3" s="96"/>
      <c r="J3" s="96"/>
      <c r="K3" s="96"/>
      <c r="L3" s="96"/>
      <c r="M3" s="96"/>
      <c r="N3" s="96"/>
      <c r="O3" s="97"/>
      <c r="P3" s="48"/>
    </row>
    <row r="4" spans="2:18" ht="15" customHeight="1" thickBot="1">
      <c r="B4" s="47"/>
      <c r="C4" s="85"/>
      <c r="D4" s="86"/>
      <c r="E4" s="48"/>
      <c r="G4" s="47"/>
      <c r="H4" s="98"/>
      <c r="I4" s="99"/>
      <c r="J4" s="99"/>
      <c r="K4" s="99"/>
      <c r="L4" s="99"/>
      <c r="M4" s="99"/>
      <c r="N4" s="99"/>
      <c r="O4" s="100"/>
      <c r="P4" s="48"/>
    </row>
    <row r="5" spans="2:18" ht="15" customHeight="1">
      <c r="B5" s="47"/>
      <c r="C5" s="87">
        <v>2025</v>
      </c>
      <c r="D5" s="79" t="s">
        <v>16</v>
      </c>
      <c r="E5" s="48"/>
      <c r="G5" s="47"/>
      <c r="H5" s="49"/>
      <c r="I5" s="49"/>
      <c r="J5" s="49"/>
      <c r="K5" s="49"/>
      <c r="L5" s="49"/>
      <c r="M5" s="49"/>
      <c r="N5" s="49"/>
      <c r="O5" s="49"/>
      <c r="P5" s="48"/>
    </row>
    <row r="6" spans="2:18" ht="15" customHeight="1" thickBot="1">
      <c r="B6" s="47"/>
      <c r="C6" s="88"/>
      <c r="D6" s="80"/>
      <c r="E6" s="48"/>
      <c r="G6" s="47"/>
      <c r="H6" s="49"/>
      <c r="I6" s="49"/>
      <c r="J6" s="49"/>
      <c r="K6" s="49"/>
      <c r="L6" s="49"/>
      <c r="M6" s="49"/>
      <c r="N6" s="49"/>
      <c r="O6" s="49"/>
      <c r="P6" s="48"/>
    </row>
    <row r="7" spans="2:18" ht="15" customHeight="1">
      <c r="B7" s="47"/>
      <c r="C7" s="87">
        <v>4</v>
      </c>
      <c r="D7" s="79" t="s">
        <v>17</v>
      </c>
      <c r="E7" s="48"/>
      <c r="G7" s="47"/>
      <c r="H7" s="101" t="s">
        <v>18</v>
      </c>
      <c r="I7" s="102"/>
      <c r="J7" s="102"/>
      <c r="K7" s="103"/>
      <c r="L7" s="107">
        <v>50</v>
      </c>
      <c r="M7" s="108"/>
      <c r="N7" s="108"/>
      <c r="O7" s="109"/>
      <c r="P7" s="48"/>
    </row>
    <row r="8" spans="2:18" ht="15" customHeight="1" thickBot="1">
      <c r="B8" s="47"/>
      <c r="C8" s="88"/>
      <c r="D8" s="80"/>
      <c r="E8" s="48"/>
      <c r="G8" s="47"/>
      <c r="H8" s="104"/>
      <c r="I8" s="105"/>
      <c r="J8" s="105"/>
      <c r="K8" s="106"/>
      <c r="L8" s="110"/>
      <c r="M8" s="111"/>
      <c r="N8" s="111"/>
      <c r="O8" s="112"/>
      <c r="P8" s="48"/>
    </row>
    <row r="9" spans="2:18" ht="15" customHeight="1">
      <c r="B9" s="47"/>
      <c r="C9" s="81" t="s">
        <v>19</v>
      </c>
      <c r="D9" s="82"/>
      <c r="E9" s="48"/>
      <c r="G9" s="47"/>
      <c r="H9" s="101" t="s">
        <v>20</v>
      </c>
      <c r="I9" s="102"/>
      <c r="J9" s="102"/>
      <c r="K9" s="103"/>
      <c r="L9" s="107" t="str">
        <f>VLOOKUP(L7,Q2:R70,2)</f>
        <v>Phan Vu Hoang Ngan</v>
      </c>
      <c r="M9" s="108"/>
      <c r="N9" s="108"/>
      <c r="O9" s="109"/>
      <c r="P9" s="48"/>
      <c r="Q9">
        <v>1</v>
      </c>
      <c r="R9" s="66" t="s">
        <v>47</v>
      </c>
    </row>
    <row r="10" spans="2:18" ht="15" customHeight="1" thickBot="1">
      <c r="B10" s="47"/>
      <c r="C10" s="83"/>
      <c r="D10" s="84"/>
      <c r="E10" s="48"/>
      <c r="G10" s="47"/>
      <c r="H10" s="104"/>
      <c r="I10" s="105"/>
      <c r="J10" s="105"/>
      <c r="K10" s="106"/>
      <c r="L10" s="110"/>
      <c r="M10" s="111"/>
      <c r="N10" s="111"/>
      <c r="O10" s="112"/>
      <c r="P10" s="48"/>
      <c r="Q10">
        <v>2</v>
      </c>
      <c r="R10" s="62" t="s">
        <v>48</v>
      </c>
    </row>
    <row r="11" spans="2:18" ht="15" customHeight="1">
      <c r="B11" s="47"/>
      <c r="C11" s="50">
        <v>4</v>
      </c>
      <c r="D11" s="51">
        <v>1</v>
      </c>
      <c r="E11" s="48"/>
      <c r="G11" s="47"/>
      <c r="H11" s="49"/>
      <c r="I11" s="49"/>
      <c r="J11" s="49"/>
      <c r="K11" s="49"/>
      <c r="L11" s="49"/>
      <c r="M11" s="49"/>
      <c r="N11" s="49"/>
      <c r="O11" s="49"/>
      <c r="P11" s="48"/>
      <c r="Q11">
        <v>3</v>
      </c>
      <c r="R11" s="62" t="s">
        <v>49</v>
      </c>
    </row>
    <row r="12" spans="2:18" ht="15" customHeight="1">
      <c r="B12" s="47"/>
      <c r="C12" s="50">
        <v>4</v>
      </c>
      <c r="D12" s="51">
        <v>2</v>
      </c>
      <c r="E12" s="48"/>
      <c r="G12" s="47"/>
      <c r="H12" s="49"/>
      <c r="I12" s="49"/>
      <c r="J12" s="49"/>
      <c r="K12" s="49"/>
      <c r="L12" s="49"/>
      <c r="M12" s="49"/>
      <c r="N12" s="49"/>
      <c r="O12" s="49"/>
      <c r="P12" s="48"/>
      <c r="Q12">
        <v>4</v>
      </c>
      <c r="R12" s="63" t="s">
        <v>50</v>
      </c>
    </row>
    <row r="13" spans="2:18" ht="15" customHeight="1">
      <c r="B13" s="47"/>
      <c r="C13" s="50">
        <v>4</v>
      </c>
      <c r="D13" s="51">
        <v>3</v>
      </c>
      <c r="E13" s="48"/>
      <c r="G13" s="47"/>
      <c r="H13" s="49"/>
      <c r="I13" s="49"/>
      <c r="J13" s="49"/>
      <c r="K13" s="49"/>
      <c r="L13" s="49"/>
      <c r="M13" s="49"/>
      <c r="N13" s="49"/>
      <c r="O13" s="49"/>
      <c r="P13" s="48"/>
      <c r="Q13">
        <v>5</v>
      </c>
      <c r="R13" s="63" t="s">
        <v>51</v>
      </c>
    </row>
    <row r="14" spans="2:18" ht="15" customHeight="1">
      <c r="B14" s="47"/>
      <c r="C14" s="50">
        <v>4</v>
      </c>
      <c r="D14" s="51">
        <v>4</v>
      </c>
      <c r="E14" s="48"/>
      <c r="G14" s="47"/>
      <c r="H14" s="49"/>
      <c r="I14" s="49"/>
      <c r="J14" s="49"/>
      <c r="K14" s="49"/>
      <c r="L14" s="49"/>
      <c r="M14" s="49"/>
      <c r="N14" s="49"/>
      <c r="O14" s="49"/>
      <c r="P14" s="48"/>
      <c r="Q14">
        <v>6</v>
      </c>
      <c r="R14" s="65" t="s">
        <v>52</v>
      </c>
    </row>
    <row r="15" spans="2:18" ht="15" customHeight="1" thickBot="1">
      <c r="B15" s="47"/>
      <c r="C15" s="50">
        <v>4</v>
      </c>
      <c r="D15" s="51">
        <v>5</v>
      </c>
      <c r="E15" s="48"/>
      <c r="G15" s="52"/>
      <c r="H15" s="53"/>
      <c r="I15" s="53"/>
      <c r="J15" s="53"/>
      <c r="K15" s="53"/>
      <c r="L15" s="53"/>
      <c r="M15" s="53"/>
      <c r="N15" s="53"/>
      <c r="O15" s="53"/>
      <c r="P15" s="56"/>
      <c r="Q15">
        <v>7</v>
      </c>
      <c r="R15" s="63" t="s">
        <v>53</v>
      </c>
    </row>
    <row r="16" spans="2:18" ht="15" customHeight="1" thickBot="1">
      <c r="B16" s="47"/>
      <c r="C16" s="50">
        <v>4</v>
      </c>
      <c r="D16" s="51">
        <v>6</v>
      </c>
      <c r="E16" s="48"/>
      <c r="Q16">
        <v>8</v>
      </c>
      <c r="R16" s="74" t="s">
        <v>81</v>
      </c>
    </row>
    <row r="17" spans="2:18" ht="15" customHeight="1" thickBot="1">
      <c r="B17" s="47"/>
      <c r="C17" s="50">
        <v>4</v>
      </c>
      <c r="D17" s="51">
        <v>7</v>
      </c>
      <c r="E17" s="48"/>
      <c r="G17" s="44"/>
      <c r="H17" s="45"/>
      <c r="I17" s="45"/>
      <c r="J17" s="45"/>
      <c r="K17" s="45"/>
      <c r="L17" s="45"/>
      <c r="M17" s="45"/>
      <c r="N17" s="45"/>
      <c r="O17" s="45"/>
      <c r="P17" s="46"/>
      <c r="Q17">
        <v>9</v>
      </c>
      <c r="R17" s="71" t="s">
        <v>78</v>
      </c>
    </row>
    <row r="18" spans="2:18" ht="15" customHeight="1">
      <c r="B18" s="47"/>
      <c r="C18" s="50">
        <v>4</v>
      </c>
      <c r="D18" s="51">
        <v>8</v>
      </c>
      <c r="E18" s="48"/>
      <c r="G18" s="47"/>
      <c r="H18" s="95" t="s">
        <v>21</v>
      </c>
      <c r="I18" s="96"/>
      <c r="J18" s="96"/>
      <c r="K18" s="96"/>
      <c r="L18" s="96"/>
      <c r="M18" s="96"/>
      <c r="N18" s="96"/>
      <c r="O18" s="97"/>
      <c r="P18" s="48"/>
      <c r="Q18">
        <v>10</v>
      </c>
      <c r="R18" s="64" t="s">
        <v>64</v>
      </c>
    </row>
    <row r="19" spans="2:18" ht="15" customHeight="1" thickBot="1">
      <c r="B19" s="47"/>
      <c r="C19" s="50">
        <v>4</v>
      </c>
      <c r="D19" s="51">
        <v>9</v>
      </c>
      <c r="E19" s="48"/>
      <c r="G19" s="47"/>
      <c r="H19" s="117"/>
      <c r="I19" s="118"/>
      <c r="J19" s="118"/>
      <c r="K19" s="118"/>
      <c r="L19" s="118"/>
      <c r="M19" s="118"/>
      <c r="N19" s="118"/>
      <c r="O19" s="119"/>
      <c r="P19" s="48"/>
      <c r="Q19">
        <v>11</v>
      </c>
      <c r="R19" s="64" t="s">
        <v>54</v>
      </c>
    </row>
    <row r="20" spans="2:18" ht="15" customHeight="1">
      <c r="B20" s="47"/>
      <c r="C20" s="50">
        <v>4</v>
      </c>
      <c r="D20" s="51">
        <v>10</v>
      </c>
      <c r="E20" s="48"/>
      <c r="G20" s="47"/>
      <c r="H20" s="54"/>
      <c r="I20" s="120">
        <v>0.375</v>
      </c>
      <c r="J20" s="121"/>
      <c r="K20" s="124" t="s">
        <v>22</v>
      </c>
      <c r="L20" s="124"/>
      <c r="M20" s="120">
        <v>0.75</v>
      </c>
      <c r="N20" s="121"/>
      <c r="O20" s="57"/>
      <c r="P20" s="48"/>
      <c r="Q20">
        <v>12</v>
      </c>
      <c r="R20" s="67" t="s">
        <v>55</v>
      </c>
    </row>
    <row r="21" spans="2:18" ht="15" customHeight="1" thickBot="1">
      <c r="B21" s="47"/>
      <c r="C21" s="50">
        <v>4</v>
      </c>
      <c r="D21" s="51">
        <v>11</v>
      </c>
      <c r="E21" s="48"/>
      <c r="G21" s="47"/>
      <c r="H21" s="54"/>
      <c r="I21" s="122"/>
      <c r="J21" s="123"/>
      <c r="K21" s="124"/>
      <c r="L21" s="124"/>
      <c r="M21" s="122"/>
      <c r="N21" s="123"/>
      <c r="O21" s="57"/>
      <c r="P21" s="48"/>
      <c r="Q21">
        <v>13</v>
      </c>
      <c r="R21" s="67" t="s">
        <v>83</v>
      </c>
    </row>
    <row r="22" spans="2:18" ht="15" customHeight="1" thickBot="1">
      <c r="B22" s="47"/>
      <c r="C22" s="50">
        <v>4</v>
      </c>
      <c r="D22" s="51">
        <v>12</v>
      </c>
      <c r="E22" s="48"/>
      <c r="G22" s="47"/>
      <c r="H22" s="54"/>
      <c r="I22" s="58"/>
      <c r="J22" s="58"/>
      <c r="K22" s="58"/>
      <c r="L22" s="58"/>
      <c r="M22" s="58"/>
      <c r="N22" s="58"/>
      <c r="O22" s="57"/>
      <c r="P22" s="48"/>
      <c r="Q22">
        <v>14</v>
      </c>
      <c r="R22" s="69" t="s">
        <v>57</v>
      </c>
    </row>
    <row r="23" spans="2:18" ht="15" customHeight="1">
      <c r="B23" s="47"/>
      <c r="C23" s="50">
        <v>4</v>
      </c>
      <c r="D23" s="51">
        <v>13</v>
      </c>
      <c r="E23" s="48"/>
      <c r="G23" s="47"/>
      <c r="H23" s="54"/>
      <c r="I23" s="89" t="s">
        <v>23</v>
      </c>
      <c r="J23" s="90"/>
      <c r="K23" s="90"/>
      <c r="L23" s="91"/>
      <c r="M23" s="113">
        <v>4.1666666666666699E-2</v>
      </c>
      <c r="N23" s="114"/>
      <c r="O23" s="57"/>
      <c r="P23" s="48"/>
      <c r="Q23">
        <v>15</v>
      </c>
      <c r="R23" s="64" t="s">
        <v>58</v>
      </c>
    </row>
    <row r="24" spans="2:18" ht="15" customHeight="1" thickBot="1">
      <c r="B24" s="47"/>
      <c r="C24" s="50">
        <v>4</v>
      </c>
      <c r="D24" s="51">
        <v>14</v>
      </c>
      <c r="E24" s="48"/>
      <c r="G24" s="47"/>
      <c r="H24" s="54"/>
      <c r="I24" s="92"/>
      <c r="J24" s="93"/>
      <c r="K24" s="93"/>
      <c r="L24" s="94"/>
      <c r="M24" s="115"/>
      <c r="N24" s="116"/>
      <c r="O24" s="57"/>
      <c r="P24" s="48"/>
      <c r="Q24">
        <v>16</v>
      </c>
      <c r="R24" s="70" t="s">
        <v>76</v>
      </c>
    </row>
    <row r="25" spans="2:18" ht="15" customHeight="1" thickBot="1">
      <c r="B25" s="47"/>
      <c r="C25" s="50">
        <v>4</v>
      </c>
      <c r="D25" s="51">
        <v>15</v>
      </c>
      <c r="E25" s="48"/>
      <c r="G25" s="47"/>
      <c r="H25" s="55"/>
      <c r="I25" s="59"/>
      <c r="J25" s="59"/>
      <c r="K25" s="59"/>
      <c r="L25" s="59"/>
      <c r="M25" s="59"/>
      <c r="N25" s="59"/>
      <c r="O25" s="60"/>
      <c r="P25" s="48"/>
      <c r="Q25">
        <v>17</v>
      </c>
      <c r="R25" t="s">
        <v>59</v>
      </c>
    </row>
    <row r="26" spans="2:18" ht="15" customHeight="1" thickBot="1">
      <c r="B26" s="47"/>
      <c r="C26" s="50">
        <v>4</v>
      </c>
      <c r="D26" s="51">
        <v>16</v>
      </c>
      <c r="E26" s="48"/>
      <c r="G26" s="52"/>
      <c r="H26" s="53"/>
      <c r="I26" s="53"/>
      <c r="J26" s="53"/>
      <c r="K26" s="53"/>
      <c r="L26" s="53"/>
      <c r="M26" s="53"/>
      <c r="N26" s="53"/>
      <c r="O26" s="53"/>
      <c r="P26" s="56"/>
      <c r="Q26">
        <v>18</v>
      </c>
      <c r="R26" t="s">
        <v>60</v>
      </c>
    </row>
    <row r="27" spans="2:18" ht="15" customHeight="1">
      <c r="B27" s="47"/>
      <c r="C27" s="50">
        <v>4</v>
      </c>
      <c r="D27" s="51">
        <v>17</v>
      </c>
      <c r="E27" s="48"/>
      <c r="Q27">
        <v>19</v>
      </c>
      <c r="R27" t="s">
        <v>61</v>
      </c>
    </row>
    <row r="28" spans="2:18" ht="15" customHeight="1">
      <c r="B28" s="47"/>
      <c r="C28" s="50">
        <v>4</v>
      </c>
      <c r="D28" s="51">
        <v>18</v>
      </c>
      <c r="E28" s="48"/>
      <c r="Q28">
        <v>20</v>
      </c>
      <c r="R28" t="s">
        <v>62</v>
      </c>
    </row>
    <row r="29" spans="2:18" ht="15" customHeight="1">
      <c r="B29" s="47"/>
      <c r="C29" s="50">
        <v>4</v>
      </c>
      <c r="D29" s="51">
        <v>19</v>
      </c>
      <c r="E29" s="48"/>
      <c r="Q29">
        <v>21</v>
      </c>
      <c r="R29" t="s">
        <v>63</v>
      </c>
    </row>
    <row r="30" spans="2:18" ht="15" customHeight="1">
      <c r="B30" s="47"/>
      <c r="C30" s="50">
        <v>4</v>
      </c>
      <c r="D30" s="51">
        <v>20</v>
      </c>
      <c r="E30" s="48"/>
      <c r="Q30">
        <v>22</v>
      </c>
      <c r="R30" s="77" t="s">
        <v>93</v>
      </c>
    </row>
    <row r="31" spans="2:18" ht="15" customHeight="1">
      <c r="B31" s="47"/>
      <c r="C31" s="50">
        <v>4</v>
      </c>
      <c r="D31" s="51">
        <v>21</v>
      </c>
      <c r="E31" s="48"/>
      <c r="Q31">
        <v>23</v>
      </c>
      <c r="R31" t="s">
        <v>56</v>
      </c>
    </row>
    <row r="32" spans="2:18" ht="15" customHeight="1">
      <c r="B32" s="47"/>
      <c r="C32" s="50">
        <v>4</v>
      </c>
      <c r="D32" s="51">
        <v>22</v>
      </c>
      <c r="E32" s="48"/>
      <c r="Q32">
        <v>24</v>
      </c>
      <c r="R32" s="77" t="s">
        <v>86</v>
      </c>
    </row>
    <row r="33" spans="2:18" ht="15" customHeight="1">
      <c r="B33" s="47"/>
      <c r="C33" s="50">
        <v>4</v>
      </c>
      <c r="D33" s="51">
        <v>23</v>
      </c>
      <c r="E33" s="48"/>
      <c r="Q33">
        <v>25</v>
      </c>
      <c r="R33" t="s">
        <v>65</v>
      </c>
    </row>
    <row r="34" spans="2:18" ht="15" customHeight="1">
      <c r="B34" s="47"/>
      <c r="C34" s="50">
        <v>4</v>
      </c>
      <c r="D34" s="51">
        <v>24</v>
      </c>
      <c r="E34" s="48"/>
      <c r="Q34">
        <v>26</v>
      </c>
      <c r="R34" t="s">
        <v>66</v>
      </c>
    </row>
    <row r="35" spans="2:18" ht="15" customHeight="1">
      <c r="B35" s="47"/>
      <c r="C35" s="50">
        <v>4</v>
      </c>
      <c r="D35" s="51">
        <v>25</v>
      </c>
      <c r="E35" s="48"/>
      <c r="Q35">
        <v>27</v>
      </c>
      <c r="R35" t="s">
        <v>67</v>
      </c>
    </row>
    <row r="36" spans="2:18" ht="15" customHeight="1">
      <c r="B36" s="47"/>
      <c r="C36" s="50">
        <v>4</v>
      </c>
      <c r="D36" s="51">
        <v>26</v>
      </c>
      <c r="E36" s="48"/>
      <c r="Q36">
        <v>28</v>
      </c>
      <c r="R36" s="73" t="s">
        <v>80</v>
      </c>
    </row>
    <row r="37" spans="2:18" ht="15" customHeight="1">
      <c r="B37" s="47"/>
      <c r="C37" s="50">
        <v>4</v>
      </c>
      <c r="D37" s="51">
        <v>27</v>
      </c>
      <c r="E37" s="48"/>
      <c r="Q37">
        <v>29</v>
      </c>
      <c r="R37" t="s">
        <v>85</v>
      </c>
    </row>
    <row r="38" spans="2:18" ht="15" customHeight="1">
      <c r="B38" s="47"/>
      <c r="C38" s="50">
        <v>4</v>
      </c>
      <c r="D38" s="51">
        <v>28</v>
      </c>
      <c r="E38" s="48"/>
      <c r="Q38">
        <v>30</v>
      </c>
      <c r="R38" t="s">
        <v>68</v>
      </c>
    </row>
    <row r="39" spans="2:18" ht="15" customHeight="1">
      <c r="B39" s="47"/>
      <c r="C39" s="50">
        <v>4</v>
      </c>
      <c r="D39" s="76">
        <v>29</v>
      </c>
      <c r="E39" s="48"/>
      <c r="Q39">
        <v>31</v>
      </c>
      <c r="R39" t="s">
        <v>69</v>
      </c>
    </row>
    <row r="40" spans="2:18" ht="15" customHeight="1">
      <c r="B40" s="47"/>
      <c r="C40" s="50">
        <v>4</v>
      </c>
      <c r="D40" s="76">
        <v>30</v>
      </c>
      <c r="E40" s="48"/>
      <c r="Q40">
        <v>32</v>
      </c>
      <c r="R40" s="72" t="s">
        <v>79</v>
      </c>
    </row>
    <row r="41" spans="2:18" ht="15" customHeight="1">
      <c r="B41" s="47"/>
      <c r="C41" s="50"/>
      <c r="D41" s="76"/>
      <c r="E41" s="48"/>
      <c r="Q41">
        <v>33</v>
      </c>
      <c r="R41" s="75" t="s">
        <v>82</v>
      </c>
    </row>
    <row r="42" spans="2:18" ht="15" customHeight="1" thickBot="1">
      <c r="B42" s="52"/>
      <c r="C42" s="53"/>
      <c r="D42" s="53"/>
      <c r="E42" s="56"/>
      <c r="Q42">
        <v>34</v>
      </c>
      <c r="R42" t="s">
        <v>70</v>
      </c>
    </row>
    <row r="43" spans="2:18" ht="15" customHeight="1">
      <c r="Q43">
        <v>35</v>
      </c>
      <c r="R43" t="s">
        <v>71</v>
      </c>
    </row>
    <row r="44" spans="2:18" ht="15" customHeight="1">
      <c r="Q44">
        <v>36</v>
      </c>
      <c r="R44" s="64" t="s">
        <v>77</v>
      </c>
    </row>
    <row r="45" spans="2:18" ht="15" customHeight="1">
      <c r="Q45">
        <v>37</v>
      </c>
      <c r="R45" t="s">
        <v>72</v>
      </c>
    </row>
    <row r="46" spans="2:18" ht="15" customHeight="1">
      <c r="Q46">
        <v>38</v>
      </c>
      <c r="R46" t="s">
        <v>73</v>
      </c>
    </row>
    <row r="47" spans="2:18" ht="15" customHeight="1">
      <c r="Q47">
        <v>39</v>
      </c>
      <c r="R47" t="s">
        <v>74</v>
      </c>
    </row>
    <row r="48" spans="2:18" ht="15" customHeight="1">
      <c r="Q48">
        <v>40</v>
      </c>
      <c r="R48" t="s">
        <v>75</v>
      </c>
    </row>
    <row r="49" spans="17:18" ht="15" customHeight="1">
      <c r="Q49">
        <v>41</v>
      </c>
      <c r="R49" t="s">
        <v>84</v>
      </c>
    </row>
    <row r="50" spans="17:18" ht="15" customHeight="1">
      <c r="Q50">
        <v>42</v>
      </c>
      <c r="R50" t="s">
        <v>90</v>
      </c>
    </row>
    <row r="51" spans="17:18" ht="15" customHeight="1">
      <c r="Q51">
        <v>43</v>
      </c>
      <c r="R51" s="78" t="s">
        <v>87</v>
      </c>
    </row>
    <row r="52" spans="17:18" ht="15" customHeight="1">
      <c r="Q52">
        <v>44</v>
      </c>
      <c r="R52" s="78" t="s">
        <v>88</v>
      </c>
    </row>
    <row r="53" spans="17:18" ht="15" customHeight="1">
      <c r="Q53">
        <v>45</v>
      </c>
      <c r="R53" s="78" t="s">
        <v>89</v>
      </c>
    </row>
    <row r="54" spans="17:18" ht="15" customHeight="1">
      <c r="Q54">
        <v>46</v>
      </c>
      <c r="R54" t="s">
        <v>91</v>
      </c>
    </row>
    <row r="55" spans="17:18" ht="15" customHeight="1">
      <c r="Q55">
        <v>47</v>
      </c>
      <c r="R55" t="s">
        <v>92</v>
      </c>
    </row>
    <row r="56" spans="17:18" ht="15" customHeight="1">
      <c r="Q56">
        <v>48</v>
      </c>
      <c r="R56" s="78" t="s">
        <v>94</v>
      </c>
    </row>
    <row r="57" spans="17:18" ht="15" customHeight="1">
      <c r="Q57">
        <v>49</v>
      </c>
      <c r="R57" s="78" t="s">
        <v>95</v>
      </c>
    </row>
    <row r="58" spans="17:18" ht="15" customHeight="1">
      <c r="Q58">
        <v>50</v>
      </c>
      <c r="R58" s="78" t="s">
        <v>96</v>
      </c>
    </row>
  </sheetData>
  <mergeCells count="17">
    <mergeCell ref="I23:L24"/>
    <mergeCell ref="H3:O4"/>
    <mergeCell ref="H9:K10"/>
    <mergeCell ref="L9:O10"/>
    <mergeCell ref="H7:K8"/>
    <mergeCell ref="L7:O8"/>
    <mergeCell ref="M23:N24"/>
    <mergeCell ref="H18:O19"/>
    <mergeCell ref="I20:J21"/>
    <mergeCell ref="K20:L21"/>
    <mergeCell ref="M20:N21"/>
    <mergeCell ref="D5:D6"/>
    <mergeCell ref="D7:D8"/>
    <mergeCell ref="C9:D10"/>
    <mergeCell ref="C3:D4"/>
    <mergeCell ref="C5:C6"/>
    <mergeCell ref="C7:C8"/>
  </mergeCells>
  <phoneticPr fontId="2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Pict="0" macro="[0]!ボタン1_Click">
                <anchor moveWithCells="1" sizeWithCells="1">
                  <from>
                    <xdr:col>7</xdr:col>
                    <xdr:colOff>152400</xdr:colOff>
                    <xdr:row>11</xdr:row>
                    <xdr:rowOff>38100</xdr:rowOff>
                  </from>
                  <to>
                    <xdr:col>14</xdr:col>
                    <xdr:colOff>38100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/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/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15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ref="C16:C38" si="3">IF(OR(A16="",B16=""),"",CHOOSE(WEEKDAY($A$1&amp;"/"&amp;A16&amp;"/"&amp;B16,1),"日","月","火","水","木","金","土"))</f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3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3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3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3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3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3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3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3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3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3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3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3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3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3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3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3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3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3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3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3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3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3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ref="C39:C41" si="4">IF(OR(A39="",B39=""),"",CHOOSE(WEEKDAY($A$1&amp;"/"&amp;A39&amp;"/"&amp;B39,1),"日","月","火","水","木","金","土"))</f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4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>
      <c r="A41" s="22" t="str">
        <f>IF(設定!C42=0,"",設定!C42)</f>
        <v/>
      </c>
      <c r="B41" s="16" t="str">
        <f>IF(設定!D42=0,"",設定!D42)</f>
        <v/>
      </c>
      <c r="C41" s="17" t="str">
        <f t="shared" si="4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5">SUM(J10:J41)</f>
        <v>0</v>
      </c>
      <c r="K42" s="128"/>
      <c r="L42" s="129"/>
      <c r="M42" s="130"/>
    </row>
  </sheetData>
  <mergeCells count="39">
    <mergeCell ref="A1:B1"/>
    <mergeCell ref="D1:E1"/>
    <mergeCell ref="D9:E9"/>
    <mergeCell ref="K9:M9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28:M28"/>
    <mergeCell ref="K29:M29"/>
    <mergeCell ref="K30:M30"/>
    <mergeCell ref="K21:M21"/>
    <mergeCell ref="K22:M22"/>
    <mergeCell ref="K23:M23"/>
    <mergeCell ref="K24:M24"/>
    <mergeCell ref="K25:M25"/>
    <mergeCell ref="K41:M41"/>
    <mergeCell ref="K42:M42"/>
    <mergeCell ref="D4:F5"/>
    <mergeCell ref="D6:F7"/>
    <mergeCell ref="K36:M36"/>
    <mergeCell ref="K37:M37"/>
    <mergeCell ref="K38:M38"/>
    <mergeCell ref="K39:M39"/>
    <mergeCell ref="K40:M40"/>
    <mergeCell ref="K31:M31"/>
    <mergeCell ref="K32:M32"/>
    <mergeCell ref="K33:M33"/>
    <mergeCell ref="K34:M34"/>
    <mergeCell ref="K35:M35"/>
    <mergeCell ref="K26:M26"/>
    <mergeCell ref="K27:M27"/>
  </mergeCells>
  <phoneticPr fontId="26"/>
  <conditionalFormatting sqref="C39:C41">
    <cfRule type="containsText" dxfId="254" priority="1" operator="containsText" text="日">
      <formula>NOT(ISERROR(SEARCH("日",C39)))</formula>
    </cfRule>
    <cfRule type="containsText" dxfId="253" priority="2" operator="containsText" text="土">
      <formula>NOT(ISERROR(SEARCH("土",C39)))</formula>
    </cfRule>
  </conditionalFormatting>
  <conditionalFormatting sqref="D39:E41 C11:E38 C10 E10">
    <cfRule type="containsText" dxfId="252" priority="16" operator="containsText" text="日">
      <formula>NOT(ISERROR(SEARCH("日",C10)))</formula>
    </cfRule>
    <cfRule type="containsText" dxfId="251" priority="17" operator="containsText" text="土">
      <formula>NOT(ISERROR(SEARCH("土",C10)))</formula>
    </cfRule>
  </conditionalFormatting>
  <conditionalFormatting sqref="H10:J41">
    <cfRule type="cellIs" dxfId="25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C70E2-7AD8-47C6-B817-6A706C8128A2}">
  <sheetPr codeName="Sheet2"/>
  <dimension ref="A1:Q42"/>
  <sheetViews>
    <sheetView tabSelected="1"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47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49" priority="1" operator="containsText" text="日">
      <formula>NOT(ISERROR(SEARCH("日",C39)))</formula>
    </cfRule>
    <cfRule type="containsText" dxfId="248" priority="2" operator="containsText" text="土">
      <formula>NOT(ISERROR(SEARCH("土",C39)))</formula>
    </cfRule>
  </conditionalFormatting>
  <conditionalFormatting sqref="D39:E41 C11:E38 C10 E10">
    <cfRule type="containsText" dxfId="247" priority="4" operator="containsText" text="日">
      <formula>NOT(ISERROR(SEARCH("日",C10)))</formula>
    </cfRule>
    <cfRule type="containsText" dxfId="246" priority="5" operator="containsText" text="土">
      <formula>NOT(ISERROR(SEARCH("土",C10)))</formula>
    </cfRule>
  </conditionalFormatting>
  <conditionalFormatting sqref="H10:J41">
    <cfRule type="cellIs" dxfId="24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F4F9C-1E66-442B-858D-D9686373779B}">
  <sheetPr codeName="Sheet4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48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44" priority="1" operator="containsText" text="日">
      <formula>NOT(ISERROR(SEARCH("日",C39)))</formula>
    </cfRule>
    <cfRule type="containsText" dxfId="243" priority="2" operator="containsText" text="土">
      <formula>NOT(ISERROR(SEARCH("土",C39)))</formula>
    </cfRule>
  </conditionalFormatting>
  <conditionalFormatting sqref="D39:E41 C11:E38 C10 E10">
    <cfRule type="containsText" dxfId="242" priority="4" operator="containsText" text="日">
      <formula>NOT(ISERROR(SEARCH("日",C10)))</formula>
    </cfRule>
    <cfRule type="containsText" dxfId="241" priority="5" operator="containsText" text="土">
      <formula>NOT(ISERROR(SEARCH("土",C10)))</formula>
    </cfRule>
  </conditionalFormatting>
  <conditionalFormatting sqref="H10:J41">
    <cfRule type="cellIs" dxfId="24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81C06-7DE4-48CC-A72C-151EB1A58583}">
  <sheetPr codeName="Sheet5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49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39" priority="1" operator="containsText" text="日">
      <formula>NOT(ISERROR(SEARCH("日",C39)))</formula>
    </cfRule>
    <cfRule type="containsText" dxfId="238" priority="2" operator="containsText" text="土">
      <formula>NOT(ISERROR(SEARCH("土",C39)))</formula>
    </cfRule>
  </conditionalFormatting>
  <conditionalFormatting sqref="D39:E41 C11:E38 C10 E10">
    <cfRule type="containsText" dxfId="237" priority="4" operator="containsText" text="日">
      <formula>NOT(ISERROR(SEARCH("日",C10)))</formula>
    </cfRule>
    <cfRule type="containsText" dxfId="236" priority="5" operator="containsText" text="土">
      <formula>NOT(ISERROR(SEARCH("土",C10)))</formula>
    </cfRule>
  </conditionalFormatting>
  <conditionalFormatting sqref="H10:J41">
    <cfRule type="cellIs" dxfId="23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1207B-926C-46A9-A0BB-D3B8B3CB5264}">
  <sheetPr codeName="Sheet7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50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34" priority="1" operator="containsText" text="日">
      <formula>NOT(ISERROR(SEARCH("日",C39)))</formula>
    </cfRule>
    <cfRule type="containsText" dxfId="233" priority="2" operator="containsText" text="土">
      <formula>NOT(ISERROR(SEARCH("土",C39)))</formula>
    </cfRule>
  </conditionalFormatting>
  <conditionalFormatting sqref="D39:E41 C11:E38 C10 E10">
    <cfRule type="containsText" dxfId="232" priority="4" operator="containsText" text="日">
      <formula>NOT(ISERROR(SEARCH("日",C10)))</formula>
    </cfRule>
    <cfRule type="containsText" dxfId="231" priority="5" operator="containsText" text="土">
      <formula>NOT(ISERROR(SEARCH("土",C10)))</formula>
    </cfRule>
  </conditionalFormatting>
  <conditionalFormatting sqref="H10:J41">
    <cfRule type="cellIs" dxfId="23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F9580-38FD-4EB2-8F25-FFC83300828E}">
  <sheetPr codeName="Sheet8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5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51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29" priority="1" operator="containsText" text="日">
      <formula>NOT(ISERROR(SEARCH("日",C39)))</formula>
    </cfRule>
    <cfRule type="containsText" dxfId="228" priority="2" operator="containsText" text="土">
      <formula>NOT(ISERROR(SEARCH("土",C39)))</formula>
    </cfRule>
  </conditionalFormatting>
  <conditionalFormatting sqref="D39:E41 C11:E38 C10 E10">
    <cfRule type="containsText" dxfId="227" priority="4" operator="containsText" text="日">
      <formula>NOT(ISERROR(SEARCH("日",C10)))</formula>
    </cfRule>
    <cfRule type="containsText" dxfId="226" priority="5" operator="containsText" text="土">
      <formula>NOT(ISERROR(SEARCH("土",C10)))</formula>
    </cfRule>
  </conditionalFormatting>
  <conditionalFormatting sqref="H10:J41">
    <cfRule type="cellIs" dxfId="22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DFAA-54BA-4C96-A78F-BDEBD8A718E8}">
  <sheetPr codeName="Sheet9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6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52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24" priority="1" operator="containsText" text="日">
      <formula>NOT(ISERROR(SEARCH("日",C39)))</formula>
    </cfRule>
    <cfRule type="containsText" dxfId="223" priority="2" operator="containsText" text="土">
      <formula>NOT(ISERROR(SEARCH("土",C39)))</formula>
    </cfRule>
  </conditionalFormatting>
  <conditionalFormatting sqref="D39:E41 C11:E38 C10 E10">
    <cfRule type="containsText" dxfId="222" priority="4" operator="containsText" text="日">
      <formula>NOT(ISERROR(SEARCH("日",C10)))</formula>
    </cfRule>
    <cfRule type="containsText" dxfId="221" priority="5" operator="containsText" text="土">
      <formula>NOT(ISERROR(SEARCH("土",C10)))</formula>
    </cfRule>
  </conditionalFormatting>
  <conditionalFormatting sqref="H10:J41">
    <cfRule type="cellIs" dxfId="22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68928-0F37-4B80-BAF8-08340179162C}">
  <sheetPr codeName="Sheet10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7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53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19" priority="1" operator="containsText" text="日">
      <formula>NOT(ISERROR(SEARCH("日",C39)))</formula>
    </cfRule>
    <cfRule type="containsText" dxfId="218" priority="2" operator="containsText" text="土">
      <formula>NOT(ISERROR(SEARCH("土",C39)))</formula>
    </cfRule>
  </conditionalFormatting>
  <conditionalFormatting sqref="D39:E41 C11:E38 C10 E10">
    <cfRule type="containsText" dxfId="217" priority="4" operator="containsText" text="日">
      <formula>NOT(ISERROR(SEARCH("日",C10)))</formula>
    </cfRule>
    <cfRule type="containsText" dxfId="216" priority="5" operator="containsText" text="土">
      <formula>NOT(ISERROR(SEARCH("土",C10)))</formula>
    </cfRule>
  </conditionalFormatting>
  <conditionalFormatting sqref="H10:J41">
    <cfRule type="cellIs" dxfId="21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60860-EB94-49D0-AFC7-6F9301496489}">
  <sheetPr codeName="Sheet11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8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81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14" priority="1" operator="containsText" text="日">
      <formula>NOT(ISERROR(SEARCH("日",C39)))</formula>
    </cfRule>
    <cfRule type="containsText" dxfId="213" priority="2" operator="containsText" text="土">
      <formula>NOT(ISERROR(SEARCH("土",C39)))</formula>
    </cfRule>
  </conditionalFormatting>
  <conditionalFormatting sqref="D39:E41 C11:E38 C10 E10">
    <cfRule type="containsText" dxfId="212" priority="4" operator="containsText" text="日">
      <formula>NOT(ISERROR(SEARCH("日",C10)))</formula>
    </cfRule>
    <cfRule type="containsText" dxfId="211" priority="5" operator="containsText" text="土">
      <formula>NOT(ISERROR(SEARCH("土",C10)))</formula>
    </cfRule>
  </conditionalFormatting>
  <conditionalFormatting sqref="H10:J41">
    <cfRule type="cellIs" dxfId="21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FEF6-5B51-4B98-B4A2-BE6902914338}">
  <sheetPr codeName="Sheet12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9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78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09" priority="1" operator="containsText" text="日">
      <formula>NOT(ISERROR(SEARCH("日",C39)))</formula>
    </cfRule>
    <cfRule type="containsText" dxfId="208" priority="2" operator="containsText" text="土">
      <formula>NOT(ISERROR(SEARCH("土",C39)))</formula>
    </cfRule>
  </conditionalFormatting>
  <conditionalFormatting sqref="D39:E41 C11:E38 C10 E10">
    <cfRule type="containsText" dxfId="207" priority="4" operator="containsText" text="日">
      <formula>NOT(ISERROR(SEARCH("日",C10)))</formula>
    </cfRule>
    <cfRule type="containsText" dxfId="206" priority="5" operator="containsText" text="土">
      <formula>NOT(ISERROR(SEARCH("土",C10)))</formula>
    </cfRule>
  </conditionalFormatting>
  <conditionalFormatting sqref="H10:J41">
    <cfRule type="cellIs" dxfId="20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C7089-1CBA-4E13-9B6F-96D3FF6AE53E}">
  <sheetPr codeName="Sheet13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10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64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204" priority="1" operator="containsText" text="日">
      <formula>NOT(ISERROR(SEARCH("日",C39)))</formula>
    </cfRule>
    <cfRule type="containsText" dxfId="203" priority="2" operator="containsText" text="土">
      <formula>NOT(ISERROR(SEARCH("土",C39)))</formula>
    </cfRule>
  </conditionalFormatting>
  <conditionalFormatting sqref="D39:E41 C11:E38 C10 E10">
    <cfRule type="containsText" dxfId="202" priority="4" operator="containsText" text="日">
      <formula>NOT(ISERROR(SEARCH("日",C10)))</formula>
    </cfRule>
    <cfRule type="containsText" dxfId="201" priority="5" operator="containsText" text="土">
      <formula>NOT(ISERROR(SEARCH("土",C10)))</formula>
    </cfRule>
  </conditionalFormatting>
  <conditionalFormatting sqref="H10:J41">
    <cfRule type="cellIs" dxfId="20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544E-B2A3-4307-BE2F-A31F8A55DCB0}">
  <sheetPr codeName="Sheet14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11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54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99" priority="1" operator="containsText" text="日">
      <formula>NOT(ISERROR(SEARCH("日",C39)))</formula>
    </cfRule>
    <cfRule type="containsText" dxfId="198" priority="2" operator="containsText" text="土">
      <formula>NOT(ISERROR(SEARCH("土",C39)))</formula>
    </cfRule>
  </conditionalFormatting>
  <conditionalFormatting sqref="D39:E41 C11:E38 C10 E10">
    <cfRule type="containsText" dxfId="197" priority="4" operator="containsText" text="日">
      <formula>NOT(ISERROR(SEARCH("日",C10)))</formula>
    </cfRule>
    <cfRule type="containsText" dxfId="196" priority="5" operator="containsText" text="土">
      <formula>NOT(ISERROR(SEARCH("土",C10)))</formula>
    </cfRule>
  </conditionalFormatting>
  <conditionalFormatting sqref="H10:J41">
    <cfRule type="cellIs" dxfId="19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3FD98-083D-4D76-90A5-63328C8C7379}">
  <sheetPr codeName="Sheet15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12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55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94" priority="1" operator="containsText" text="日">
      <formula>NOT(ISERROR(SEARCH("日",C39)))</formula>
    </cfRule>
    <cfRule type="containsText" dxfId="193" priority="2" operator="containsText" text="土">
      <formula>NOT(ISERROR(SEARCH("土",C39)))</formula>
    </cfRule>
  </conditionalFormatting>
  <conditionalFormatting sqref="D39:E41 C11:E38 C10 E10">
    <cfRule type="containsText" dxfId="192" priority="4" operator="containsText" text="日">
      <formula>NOT(ISERROR(SEARCH("日",C10)))</formula>
    </cfRule>
    <cfRule type="containsText" dxfId="191" priority="5" operator="containsText" text="土">
      <formula>NOT(ISERROR(SEARCH("土",C10)))</formula>
    </cfRule>
  </conditionalFormatting>
  <conditionalFormatting sqref="H10:J41">
    <cfRule type="cellIs" dxfId="19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4534-5104-44F6-A829-1D9C3B599F97}">
  <sheetPr codeName="Sheet16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13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83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89" priority="1" operator="containsText" text="日">
      <formula>NOT(ISERROR(SEARCH("日",C39)))</formula>
    </cfRule>
    <cfRule type="containsText" dxfId="188" priority="2" operator="containsText" text="土">
      <formula>NOT(ISERROR(SEARCH("土",C39)))</formula>
    </cfRule>
  </conditionalFormatting>
  <conditionalFormatting sqref="D39:E41 C11:E38 C10 E10">
    <cfRule type="containsText" dxfId="187" priority="4" operator="containsText" text="日">
      <formula>NOT(ISERROR(SEARCH("日",C10)))</formula>
    </cfRule>
    <cfRule type="containsText" dxfId="186" priority="5" operator="containsText" text="土">
      <formula>NOT(ISERROR(SEARCH("土",C10)))</formula>
    </cfRule>
  </conditionalFormatting>
  <conditionalFormatting sqref="H10:J41">
    <cfRule type="cellIs" dxfId="18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AFB98-3BAF-44E3-9A58-3739714CA05D}">
  <sheetPr codeName="Sheet17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14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57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84" priority="1" operator="containsText" text="日">
      <formula>NOT(ISERROR(SEARCH("日",C39)))</formula>
    </cfRule>
    <cfRule type="containsText" dxfId="183" priority="2" operator="containsText" text="土">
      <formula>NOT(ISERROR(SEARCH("土",C39)))</formula>
    </cfRule>
  </conditionalFormatting>
  <conditionalFormatting sqref="D39:E41 C11:E38 C10 E10">
    <cfRule type="containsText" dxfId="182" priority="4" operator="containsText" text="日">
      <formula>NOT(ISERROR(SEARCH("日",C10)))</formula>
    </cfRule>
    <cfRule type="containsText" dxfId="181" priority="5" operator="containsText" text="土">
      <formula>NOT(ISERROR(SEARCH("土",C10)))</formula>
    </cfRule>
  </conditionalFormatting>
  <conditionalFormatting sqref="H10:J41">
    <cfRule type="cellIs" dxfId="18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7D381-3DC3-413F-9639-0FC1763665F1}">
  <sheetPr codeName="Sheet18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15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58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79" priority="1" operator="containsText" text="日">
      <formula>NOT(ISERROR(SEARCH("日",C39)))</formula>
    </cfRule>
    <cfRule type="containsText" dxfId="178" priority="2" operator="containsText" text="土">
      <formula>NOT(ISERROR(SEARCH("土",C39)))</formula>
    </cfRule>
  </conditionalFormatting>
  <conditionalFormatting sqref="D39:E41 C11:E38 C10 E10">
    <cfRule type="containsText" dxfId="177" priority="4" operator="containsText" text="日">
      <formula>NOT(ISERROR(SEARCH("日",C10)))</formula>
    </cfRule>
    <cfRule type="containsText" dxfId="176" priority="5" operator="containsText" text="土">
      <formula>NOT(ISERROR(SEARCH("土",C10)))</formula>
    </cfRule>
  </conditionalFormatting>
  <conditionalFormatting sqref="H10:J41">
    <cfRule type="cellIs" dxfId="17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D6D0B-156A-4C98-A359-662B01AA3AEF}">
  <sheetPr codeName="Sheet19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16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76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74" priority="1" operator="containsText" text="日">
      <formula>NOT(ISERROR(SEARCH("日",C39)))</formula>
    </cfRule>
    <cfRule type="containsText" dxfId="173" priority="2" operator="containsText" text="土">
      <formula>NOT(ISERROR(SEARCH("土",C39)))</formula>
    </cfRule>
  </conditionalFormatting>
  <conditionalFormatting sqref="D39:E41 C11:E38 C10 E10">
    <cfRule type="containsText" dxfId="172" priority="4" operator="containsText" text="日">
      <formula>NOT(ISERROR(SEARCH("日",C10)))</formula>
    </cfRule>
    <cfRule type="containsText" dxfId="171" priority="5" operator="containsText" text="土">
      <formula>NOT(ISERROR(SEARCH("土",C10)))</formula>
    </cfRule>
  </conditionalFormatting>
  <conditionalFormatting sqref="H10:J41">
    <cfRule type="cellIs" dxfId="17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0563A-DAD5-4CC8-9E65-B855883A9F3C}">
  <sheetPr codeName="Sheet20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17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59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69" priority="1" operator="containsText" text="日">
      <formula>NOT(ISERROR(SEARCH("日",C39)))</formula>
    </cfRule>
    <cfRule type="containsText" dxfId="168" priority="2" operator="containsText" text="土">
      <formula>NOT(ISERROR(SEARCH("土",C39)))</formula>
    </cfRule>
  </conditionalFormatting>
  <conditionalFormatting sqref="D39:E41 C11:E38 C10 E10">
    <cfRule type="containsText" dxfId="167" priority="4" operator="containsText" text="日">
      <formula>NOT(ISERROR(SEARCH("日",C10)))</formula>
    </cfRule>
    <cfRule type="containsText" dxfId="166" priority="5" operator="containsText" text="土">
      <formula>NOT(ISERROR(SEARCH("土",C10)))</formula>
    </cfRule>
  </conditionalFormatting>
  <conditionalFormatting sqref="H10:J41">
    <cfRule type="cellIs" dxfId="16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7D57-0C1E-407E-8190-C731731CB003}">
  <sheetPr codeName="Sheet21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18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60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64" priority="1" operator="containsText" text="日">
      <formula>NOT(ISERROR(SEARCH("日",C39)))</formula>
    </cfRule>
    <cfRule type="containsText" dxfId="163" priority="2" operator="containsText" text="土">
      <formula>NOT(ISERROR(SEARCH("土",C39)))</formula>
    </cfRule>
  </conditionalFormatting>
  <conditionalFormatting sqref="D39:E41 C11:E38 C10 E10">
    <cfRule type="containsText" dxfId="162" priority="4" operator="containsText" text="日">
      <formula>NOT(ISERROR(SEARCH("日",C10)))</formula>
    </cfRule>
    <cfRule type="containsText" dxfId="161" priority="5" operator="containsText" text="土">
      <formula>NOT(ISERROR(SEARCH("土",C10)))</formula>
    </cfRule>
  </conditionalFormatting>
  <conditionalFormatting sqref="H10:J41">
    <cfRule type="cellIs" dxfId="16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0644A-69AA-4C2B-B126-7125187BDFD1}">
  <sheetPr codeName="Sheet22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19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61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59" priority="1" operator="containsText" text="日">
      <formula>NOT(ISERROR(SEARCH("日",C39)))</formula>
    </cfRule>
    <cfRule type="containsText" dxfId="158" priority="2" operator="containsText" text="土">
      <formula>NOT(ISERROR(SEARCH("土",C39)))</formula>
    </cfRule>
  </conditionalFormatting>
  <conditionalFormatting sqref="D39:E41 C11:E38 C10 E10">
    <cfRule type="containsText" dxfId="157" priority="4" operator="containsText" text="日">
      <formula>NOT(ISERROR(SEARCH("日",C10)))</formula>
    </cfRule>
    <cfRule type="containsText" dxfId="156" priority="5" operator="containsText" text="土">
      <formula>NOT(ISERROR(SEARCH("土",C10)))</formula>
    </cfRule>
  </conditionalFormatting>
  <conditionalFormatting sqref="H10:J41">
    <cfRule type="cellIs" dxfId="15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2A9FD-DB60-42CD-8F70-68C4699DAA13}">
  <sheetPr codeName="Sheet23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20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62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54" priority="1" operator="containsText" text="日">
      <formula>NOT(ISERROR(SEARCH("日",C39)))</formula>
    </cfRule>
    <cfRule type="containsText" dxfId="153" priority="2" operator="containsText" text="土">
      <formula>NOT(ISERROR(SEARCH("土",C39)))</formula>
    </cfRule>
  </conditionalFormatting>
  <conditionalFormatting sqref="D39:E41 C11:E38 C10 E10">
    <cfRule type="containsText" dxfId="152" priority="4" operator="containsText" text="日">
      <formula>NOT(ISERROR(SEARCH("日",C10)))</formula>
    </cfRule>
    <cfRule type="containsText" dxfId="151" priority="5" operator="containsText" text="土">
      <formula>NOT(ISERROR(SEARCH("土",C10)))</formula>
    </cfRule>
  </conditionalFormatting>
  <conditionalFormatting sqref="H10:J41">
    <cfRule type="cellIs" dxfId="15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410EC-813B-4DB3-AB08-7B38C7894051}">
  <sheetPr codeName="Sheet24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21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63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49" priority="1" operator="containsText" text="日">
      <formula>NOT(ISERROR(SEARCH("日",C39)))</formula>
    </cfRule>
    <cfRule type="containsText" dxfId="148" priority="2" operator="containsText" text="土">
      <formula>NOT(ISERROR(SEARCH("土",C39)))</formula>
    </cfRule>
  </conditionalFormatting>
  <conditionalFormatting sqref="D39:E41 C11:E38 C10 E10">
    <cfRule type="containsText" dxfId="147" priority="4" operator="containsText" text="日">
      <formula>NOT(ISERROR(SEARCH("日",C10)))</formula>
    </cfRule>
    <cfRule type="containsText" dxfId="146" priority="5" operator="containsText" text="土">
      <formula>NOT(ISERROR(SEARCH("土",C10)))</formula>
    </cfRule>
  </conditionalFormatting>
  <conditionalFormatting sqref="H10:J41">
    <cfRule type="cellIs" dxfId="14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A0E5E-5310-4ECA-A6D9-CF012B4F1C19}">
  <sheetPr codeName="Sheet25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22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93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44" priority="1" operator="containsText" text="日">
      <formula>NOT(ISERROR(SEARCH("日",C39)))</formula>
    </cfRule>
    <cfRule type="containsText" dxfId="143" priority="2" operator="containsText" text="土">
      <formula>NOT(ISERROR(SEARCH("土",C39)))</formula>
    </cfRule>
  </conditionalFormatting>
  <conditionalFormatting sqref="D39:E41 C11:E38 C10 E10">
    <cfRule type="containsText" dxfId="142" priority="4" operator="containsText" text="日">
      <formula>NOT(ISERROR(SEARCH("日",C10)))</formula>
    </cfRule>
    <cfRule type="containsText" dxfId="141" priority="5" operator="containsText" text="土">
      <formula>NOT(ISERROR(SEARCH("土",C10)))</formula>
    </cfRule>
  </conditionalFormatting>
  <conditionalFormatting sqref="H10:J41">
    <cfRule type="cellIs" dxfId="14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33BE2-81E6-4996-9AE0-1F32F9ED3A0B}">
  <sheetPr codeName="Sheet26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23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56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39" priority="1" operator="containsText" text="日">
      <formula>NOT(ISERROR(SEARCH("日",C39)))</formula>
    </cfRule>
    <cfRule type="containsText" dxfId="138" priority="2" operator="containsText" text="土">
      <formula>NOT(ISERROR(SEARCH("土",C39)))</formula>
    </cfRule>
  </conditionalFormatting>
  <conditionalFormatting sqref="D39:E41 C11:E38 C10 E10">
    <cfRule type="containsText" dxfId="137" priority="4" operator="containsText" text="日">
      <formula>NOT(ISERROR(SEARCH("日",C10)))</formula>
    </cfRule>
    <cfRule type="containsText" dxfId="136" priority="5" operator="containsText" text="土">
      <formula>NOT(ISERROR(SEARCH("土",C10)))</formula>
    </cfRule>
  </conditionalFormatting>
  <conditionalFormatting sqref="H10:J41">
    <cfRule type="cellIs" dxfId="13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780F5-67EC-40E6-8817-A1BC73986DD3}">
  <sheetPr codeName="Sheet27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24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86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134" priority="1" operator="containsText" text="日">
      <formula>NOT(ISERROR(SEARCH("日",C39)))</formula>
    </cfRule>
    <cfRule type="containsText" dxfId="133" priority="2" operator="containsText" text="土">
      <formula>NOT(ISERROR(SEARCH("土",C39)))</formula>
    </cfRule>
  </conditionalFormatting>
  <conditionalFormatting sqref="D39:E41 C11:E38 C10 E10">
    <cfRule type="containsText" dxfId="132" priority="4" operator="containsText" text="日">
      <formula>NOT(ISERROR(SEARCH("日",C10)))</formula>
    </cfRule>
    <cfRule type="containsText" dxfId="131" priority="5" operator="containsText" text="土">
      <formula>NOT(ISERROR(SEARCH("土",C10)))</formula>
    </cfRule>
  </conditionalFormatting>
  <conditionalFormatting sqref="H10:J41">
    <cfRule type="cellIs" dxfId="13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B411B-EC65-4CE0-B5E3-FA3A24A8599E}">
  <sheetPr codeName="Sheet49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42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90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129" priority="1" operator="containsText" text="日">
      <formula>NOT(ISERROR(SEARCH("日",C39)))</formula>
    </cfRule>
    <cfRule type="containsText" dxfId="128" priority="2" operator="containsText" text="土">
      <formula>NOT(ISERROR(SEARCH("土",C39)))</formula>
    </cfRule>
  </conditionalFormatting>
  <conditionalFormatting sqref="D39:E41 C11:E38 C10 E10">
    <cfRule type="containsText" dxfId="127" priority="4" operator="containsText" text="日">
      <formula>NOT(ISERROR(SEARCH("日",C10)))</formula>
    </cfRule>
    <cfRule type="containsText" dxfId="126" priority="5" operator="containsText" text="土">
      <formula>NOT(ISERROR(SEARCH("土",C10)))</formula>
    </cfRule>
  </conditionalFormatting>
  <conditionalFormatting sqref="H10:J41">
    <cfRule type="cellIs" dxfId="12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EF821-B5D9-46E9-AEFD-653D487FFC8B}">
  <sheetPr codeName="Sheet46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43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87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24" priority="1" operator="containsText" text="日">
      <formula>NOT(ISERROR(SEARCH("日",C39)))</formula>
    </cfRule>
    <cfRule type="containsText" dxfId="123" priority="2" operator="containsText" text="土">
      <formula>NOT(ISERROR(SEARCH("土",C39)))</formula>
    </cfRule>
  </conditionalFormatting>
  <conditionalFormatting sqref="D39:E41 C11:E38 C10 E10">
    <cfRule type="containsText" dxfId="122" priority="4" operator="containsText" text="日">
      <formula>NOT(ISERROR(SEARCH("日",C10)))</formula>
    </cfRule>
    <cfRule type="containsText" dxfId="121" priority="5" operator="containsText" text="土">
      <formula>NOT(ISERROR(SEARCH("土",C10)))</formula>
    </cfRule>
  </conditionalFormatting>
  <conditionalFormatting sqref="H10:J41">
    <cfRule type="cellIs" dxfId="12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45FC1-9921-46BD-9155-033DF217B32B}">
  <sheetPr codeName="Sheet47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44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88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19" priority="1" operator="containsText" text="日">
      <formula>NOT(ISERROR(SEARCH("日",C39)))</formula>
    </cfRule>
    <cfRule type="containsText" dxfId="118" priority="2" operator="containsText" text="土">
      <formula>NOT(ISERROR(SEARCH("土",C39)))</formula>
    </cfRule>
  </conditionalFormatting>
  <conditionalFormatting sqref="D39:E41 C11:E38 C10 E10">
    <cfRule type="containsText" dxfId="117" priority="4" operator="containsText" text="日">
      <formula>NOT(ISERROR(SEARCH("日",C10)))</formula>
    </cfRule>
    <cfRule type="containsText" dxfId="116" priority="5" operator="containsText" text="土">
      <formula>NOT(ISERROR(SEARCH("土",C10)))</formula>
    </cfRule>
  </conditionalFormatting>
  <conditionalFormatting sqref="H10:J41">
    <cfRule type="cellIs" dxfId="11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D8E95-E858-485A-9D8C-15719D7D5405}">
  <sheetPr codeName="Sheet48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45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89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114" priority="1" operator="containsText" text="日">
      <formula>NOT(ISERROR(SEARCH("日",C39)))</formula>
    </cfRule>
    <cfRule type="containsText" dxfId="113" priority="2" operator="containsText" text="土">
      <formula>NOT(ISERROR(SEARCH("土",C39)))</formula>
    </cfRule>
  </conditionalFormatting>
  <conditionalFormatting sqref="D39:E41 C11:E38 C10 E10">
    <cfRule type="containsText" dxfId="112" priority="4" operator="containsText" text="日">
      <formula>NOT(ISERROR(SEARCH("日",C10)))</formula>
    </cfRule>
    <cfRule type="containsText" dxfId="111" priority="5" operator="containsText" text="土">
      <formula>NOT(ISERROR(SEARCH("土",C10)))</formula>
    </cfRule>
  </conditionalFormatting>
  <conditionalFormatting sqref="H10:J41">
    <cfRule type="cellIs" dxfId="11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F915F-5752-4988-B3D9-86D5C6DCED1A}">
  <sheetPr codeName="Sheet50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46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91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109" priority="1" operator="containsText" text="日">
      <formula>NOT(ISERROR(SEARCH("日",C39)))</formula>
    </cfRule>
    <cfRule type="containsText" dxfId="108" priority="2" operator="containsText" text="土">
      <formula>NOT(ISERROR(SEARCH("土",C39)))</formula>
    </cfRule>
  </conditionalFormatting>
  <conditionalFormatting sqref="D39:E41 C11:E38 C10 E10">
    <cfRule type="containsText" dxfId="107" priority="4" operator="containsText" text="日">
      <formula>NOT(ISERROR(SEARCH("日",C10)))</formula>
    </cfRule>
    <cfRule type="containsText" dxfId="106" priority="5" operator="containsText" text="土">
      <formula>NOT(ISERROR(SEARCH("土",C10)))</formula>
    </cfRule>
  </conditionalFormatting>
  <conditionalFormatting sqref="H10:J41">
    <cfRule type="cellIs" dxfId="10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61D5-11D4-4F81-8BF7-76A35925DB21}">
  <sheetPr codeName="Sheet51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47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92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104" priority="1" operator="containsText" text="日">
      <formula>NOT(ISERROR(SEARCH("日",C39)))</formula>
    </cfRule>
    <cfRule type="containsText" dxfId="103" priority="2" operator="containsText" text="土">
      <formula>NOT(ISERROR(SEARCH("土",C39)))</formula>
    </cfRule>
  </conditionalFormatting>
  <conditionalFormatting sqref="D39:E41 C11:E38 C10 E10">
    <cfRule type="containsText" dxfId="102" priority="4" operator="containsText" text="日">
      <formula>NOT(ISERROR(SEARCH("日",C10)))</formula>
    </cfRule>
    <cfRule type="containsText" dxfId="101" priority="5" operator="containsText" text="土">
      <formula>NOT(ISERROR(SEARCH("土",C10)))</formula>
    </cfRule>
  </conditionalFormatting>
  <conditionalFormatting sqref="H10:J41">
    <cfRule type="cellIs" dxfId="10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E640-C254-4A11-924F-0AB2CD72F750}">
  <sheetPr codeName="Sheet45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48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94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99" priority="1" operator="containsText" text="日">
      <formula>NOT(ISERROR(SEARCH("日",C39)))</formula>
    </cfRule>
    <cfRule type="containsText" dxfId="98" priority="2" operator="containsText" text="土">
      <formula>NOT(ISERROR(SEARCH("土",C39)))</formula>
    </cfRule>
  </conditionalFormatting>
  <conditionalFormatting sqref="D39:E41 C11:E38 C10 E10">
    <cfRule type="containsText" dxfId="97" priority="4" operator="containsText" text="日">
      <formula>NOT(ISERROR(SEARCH("日",C10)))</formula>
    </cfRule>
    <cfRule type="containsText" dxfId="96" priority="5" operator="containsText" text="土">
      <formula>NOT(ISERROR(SEARCH("土",C10)))</formula>
    </cfRule>
  </conditionalFormatting>
  <conditionalFormatting sqref="H10:J41">
    <cfRule type="cellIs" dxfId="9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B73A4-7EC1-4C60-9C7E-91F2AD34D331}">
  <sheetPr codeName="Sheet28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25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65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94" priority="1" operator="containsText" text="日">
      <formula>NOT(ISERROR(SEARCH("日",C39)))</formula>
    </cfRule>
    <cfRule type="containsText" dxfId="93" priority="2" operator="containsText" text="土">
      <formula>NOT(ISERROR(SEARCH("土",C39)))</formula>
    </cfRule>
  </conditionalFormatting>
  <conditionalFormatting sqref="D39:E41 C11:E38 C10 E10">
    <cfRule type="containsText" dxfId="92" priority="4" operator="containsText" text="日">
      <formula>NOT(ISERROR(SEARCH("日",C10)))</formula>
    </cfRule>
    <cfRule type="containsText" dxfId="91" priority="5" operator="containsText" text="土">
      <formula>NOT(ISERROR(SEARCH("土",C10)))</formula>
    </cfRule>
  </conditionalFormatting>
  <conditionalFormatting sqref="H10:J41">
    <cfRule type="cellIs" dxfId="9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5B19F-2F8F-42A4-95BE-2C10E2920035}">
  <sheetPr codeName="Sheet29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26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66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89" priority="1" operator="containsText" text="日">
      <formula>NOT(ISERROR(SEARCH("日",C39)))</formula>
    </cfRule>
    <cfRule type="containsText" dxfId="88" priority="2" operator="containsText" text="土">
      <formula>NOT(ISERROR(SEARCH("土",C39)))</formula>
    </cfRule>
  </conditionalFormatting>
  <conditionalFormatting sqref="D39:E41 C11:E38 C10 E10">
    <cfRule type="containsText" dxfId="87" priority="4" operator="containsText" text="日">
      <formula>NOT(ISERROR(SEARCH("日",C10)))</formula>
    </cfRule>
    <cfRule type="containsText" dxfId="86" priority="5" operator="containsText" text="土">
      <formula>NOT(ISERROR(SEARCH("土",C10)))</formula>
    </cfRule>
  </conditionalFormatting>
  <conditionalFormatting sqref="H10:J41">
    <cfRule type="cellIs" dxfId="8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0B646-A380-4409-893B-1447A084C277}">
  <sheetPr codeName="Sheet30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27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67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84" priority="1" operator="containsText" text="日">
      <formula>NOT(ISERROR(SEARCH("日",C39)))</formula>
    </cfRule>
    <cfRule type="containsText" dxfId="83" priority="2" operator="containsText" text="土">
      <formula>NOT(ISERROR(SEARCH("土",C39)))</formula>
    </cfRule>
  </conditionalFormatting>
  <conditionalFormatting sqref="D39:E41 C11:E38 C10 E10">
    <cfRule type="containsText" dxfId="82" priority="4" operator="containsText" text="日">
      <formula>NOT(ISERROR(SEARCH("日",C10)))</formula>
    </cfRule>
    <cfRule type="containsText" dxfId="81" priority="5" operator="containsText" text="土">
      <formula>NOT(ISERROR(SEARCH("土",C10)))</formula>
    </cfRule>
  </conditionalFormatting>
  <conditionalFormatting sqref="H10:J41">
    <cfRule type="cellIs" dxfId="8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451B-35D2-4436-B0CD-D874D51EDD89}">
  <sheetPr codeName="Sheet31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28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80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79" priority="1" operator="containsText" text="日">
      <formula>NOT(ISERROR(SEARCH("日",C39)))</formula>
    </cfRule>
    <cfRule type="containsText" dxfId="78" priority="2" operator="containsText" text="土">
      <formula>NOT(ISERROR(SEARCH("土",C39)))</formula>
    </cfRule>
  </conditionalFormatting>
  <conditionalFormatting sqref="D39:E41 C11:E38 C10 E10">
    <cfRule type="containsText" dxfId="77" priority="4" operator="containsText" text="日">
      <formula>NOT(ISERROR(SEARCH("日",C10)))</formula>
    </cfRule>
    <cfRule type="containsText" dxfId="76" priority="5" operator="containsText" text="土">
      <formula>NOT(ISERROR(SEARCH("土",C10)))</formula>
    </cfRule>
  </conditionalFormatting>
  <conditionalFormatting sqref="H10:J41">
    <cfRule type="cellIs" dxfId="7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86F57-48C5-41B4-B55D-60AF16EE41C9}">
  <sheetPr codeName="Sheet32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29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85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74" priority="1" operator="containsText" text="日">
      <formula>NOT(ISERROR(SEARCH("日",C39)))</formula>
    </cfRule>
    <cfRule type="containsText" dxfId="73" priority="2" operator="containsText" text="土">
      <formula>NOT(ISERROR(SEARCH("土",C39)))</formula>
    </cfRule>
  </conditionalFormatting>
  <conditionalFormatting sqref="D39:E41 C11:E38 C10 E10">
    <cfRule type="containsText" dxfId="72" priority="4" operator="containsText" text="日">
      <formula>NOT(ISERROR(SEARCH("日",C10)))</formula>
    </cfRule>
    <cfRule type="containsText" dxfId="71" priority="5" operator="containsText" text="土">
      <formula>NOT(ISERROR(SEARCH("土",C10)))</formula>
    </cfRule>
  </conditionalFormatting>
  <conditionalFormatting sqref="H10:J41">
    <cfRule type="cellIs" dxfId="7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DE97A-FF93-4B71-870A-133EEF95B2B3}">
  <sheetPr codeName="Sheet33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30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68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69" priority="1" operator="containsText" text="日">
      <formula>NOT(ISERROR(SEARCH("日",C39)))</formula>
    </cfRule>
    <cfRule type="containsText" dxfId="68" priority="2" operator="containsText" text="土">
      <formula>NOT(ISERROR(SEARCH("土",C39)))</formula>
    </cfRule>
  </conditionalFormatting>
  <conditionalFormatting sqref="D39:E41 C11:E38 C10 E10">
    <cfRule type="containsText" dxfId="67" priority="4" operator="containsText" text="日">
      <formula>NOT(ISERROR(SEARCH("日",C10)))</formula>
    </cfRule>
    <cfRule type="containsText" dxfId="66" priority="5" operator="containsText" text="土">
      <formula>NOT(ISERROR(SEARCH("土",C10)))</formula>
    </cfRule>
  </conditionalFormatting>
  <conditionalFormatting sqref="H10:J41">
    <cfRule type="cellIs" dxfId="6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5A4B6-1AC8-4900-9329-78532C5A0A66}">
  <sheetPr codeName="Sheet34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31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69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64" priority="1" operator="containsText" text="日">
      <formula>NOT(ISERROR(SEARCH("日",C39)))</formula>
    </cfRule>
    <cfRule type="containsText" dxfId="63" priority="2" operator="containsText" text="土">
      <formula>NOT(ISERROR(SEARCH("土",C39)))</formula>
    </cfRule>
  </conditionalFormatting>
  <conditionalFormatting sqref="D39:E41 C11:E38 C10 E10">
    <cfRule type="containsText" dxfId="62" priority="4" operator="containsText" text="日">
      <formula>NOT(ISERROR(SEARCH("日",C10)))</formula>
    </cfRule>
    <cfRule type="containsText" dxfId="61" priority="5" operator="containsText" text="土">
      <formula>NOT(ISERROR(SEARCH("土",C10)))</formula>
    </cfRule>
  </conditionalFormatting>
  <conditionalFormatting sqref="H10:J41">
    <cfRule type="cellIs" dxfId="6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D0E26-A90B-4AD3-B5B4-AAE59D7E43EC}">
  <sheetPr codeName="Sheet35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32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79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59" priority="1" operator="containsText" text="日">
      <formula>NOT(ISERROR(SEARCH("日",C39)))</formula>
    </cfRule>
    <cfRule type="containsText" dxfId="58" priority="2" operator="containsText" text="土">
      <formula>NOT(ISERROR(SEARCH("土",C39)))</formula>
    </cfRule>
  </conditionalFormatting>
  <conditionalFormatting sqref="D39:E41 C11:E38 C10 E10">
    <cfRule type="containsText" dxfId="57" priority="4" operator="containsText" text="日">
      <formula>NOT(ISERROR(SEARCH("日",C10)))</formula>
    </cfRule>
    <cfRule type="containsText" dxfId="56" priority="5" operator="containsText" text="土">
      <formula>NOT(ISERROR(SEARCH("土",C10)))</formula>
    </cfRule>
  </conditionalFormatting>
  <conditionalFormatting sqref="H10:J41">
    <cfRule type="cellIs" dxfId="5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A7EB-5081-4E2D-9447-483AA7453944}">
  <sheetPr codeName="Sheet36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33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82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54" priority="1" operator="containsText" text="日">
      <formula>NOT(ISERROR(SEARCH("日",C39)))</formula>
    </cfRule>
    <cfRule type="containsText" dxfId="53" priority="2" operator="containsText" text="土">
      <formula>NOT(ISERROR(SEARCH("土",C39)))</formula>
    </cfRule>
  </conditionalFormatting>
  <conditionalFormatting sqref="D39:E41 C11:E38 C10 E10">
    <cfRule type="containsText" dxfId="52" priority="4" operator="containsText" text="日">
      <formula>NOT(ISERROR(SEARCH("日",C10)))</formula>
    </cfRule>
    <cfRule type="containsText" dxfId="51" priority="5" operator="containsText" text="土">
      <formula>NOT(ISERROR(SEARCH("土",C10)))</formula>
    </cfRule>
  </conditionalFormatting>
  <conditionalFormatting sqref="H10:J41">
    <cfRule type="cellIs" dxfId="5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545F-F29B-4AE9-B184-240FD52FE62D}">
  <sheetPr codeName="Sheet37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34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70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49" priority="1" operator="containsText" text="日">
      <formula>NOT(ISERROR(SEARCH("日",C39)))</formula>
    </cfRule>
    <cfRule type="containsText" dxfId="48" priority="2" operator="containsText" text="土">
      <formula>NOT(ISERROR(SEARCH("土",C39)))</formula>
    </cfRule>
  </conditionalFormatting>
  <conditionalFormatting sqref="D39:E41 C11:E38 C10 E10">
    <cfRule type="containsText" dxfId="47" priority="4" operator="containsText" text="日">
      <formula>NOT(ISERROR(SEARCH("日",C10)))</formula>
    </cfRule>
    <cfRule type="containsText" dxfId="46" priority="5" operator="containsText" text="土">
      <formula>NOT(ISERROR(SEARCH("土",C10)))</formula>
    </cfRule>
  </conditionalFormatting>
  <conditionalFormatting sqref="H10:J41">
    <cfRule type="cellIs" dxfId="4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00A95-C24E-42A7-95A9-01198E40D260}">
  <sheetPr codeName="Sheet38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35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71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44" priority="1" operator="containsText" text="日">
      <formula>NOT(ISERROR(SEARCH("日",C39)))</formula>
    </cfRule>
    <cfRule type="containsText" dxfId="43" priority="2" operator="containsText" text="土">
      <formula>NOT(ISERROR(SEARCH("土",C39)))</formula>
    </cfRule>
  </conditionalFormatting>
  <conditionalFormatting sqref="D39:E41 C11:E38 C10 E10">
    <cfRule type="containsText" dxfId="42" priority="4" operator="containsText" text="日">
      <formula>NOT(ISERROR(SEARCH("日",C10)))</formula>
    </cfRule>
    <cfRule type="containsText" dxfId="41" priority="5" operator="containsText" text="土">
      <formula>NOT(ISERROR(SEARCH("土",C10)))</formula>
    </cfRule>
  </conditionalFormatting>
  <conditionalFormatting sqref="H10:J41">
    <cfRule type="cellIs" dxfId="4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FE7B5-FF74-4FFB-A397-7A8C8540081A}">
  <sheetPr codeName="Sheet39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36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77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39" priority="1" operator="containsText" text="日">
      <formula>NOT(ISERROR(SEARCH("日",C39)))</formula>
    </cfRule>
    <cfRule type="containsText" dxfId="38" priority="2" operator="containsText" text="土">
      <formula>NOT(ISERROR(SEARCH("土",C39)))</formula>
    </cfRule>
  </conditionalFormatting>
  <conditionalFormatting sqref="D39:E41 C11:E38 C10 E10">
    <cfRule type="containsText" dxfId="37" priority="4" operator="containsText" text="日">
      <formula>NOT(ISERROR(SEARCH("日",C10)))</formula>
    </cfRule>
    <cfRule type="containsText" dxfId="36" priority="5" operator="containsText" text="土">
      <formula>NOT(ISERROR(SEARCH("土",C10)))</formula>
    </cfRule>
  </conditionalFormatting>
  <conditionalFormatting sqref="H10:J41">
    <cfRule type="cellIs" dxfId="3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78D21-23CD-4195-A913-91EF9E02AF5E}">
  <sheetPr codeName="Sheet40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37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72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34" priority="1" operator="containsText" text="日">
      <formula>NOT(ISERROR(SEARCH("日",C39)))</formula>
    </cfRule>
    <cfRule type="containsText" dxfId="33" priority="2" operator="containsText" text="土">
      <formula>NOT(ISERROR(SEARCH("土",C39)))</formula>
    </cfRule>
  </conditionalFormatting>
  <conditionalFormatting sqref="D39:E41 C11:E38 C10 E10">
    <cfRule type="containsText" dxfId="32" priority="4" operator="containsText" text="日">
      <formula>NOT(ISERROR(SEARCH("日",C10)))</formula>
    </cfRule>
    <cfRule type="containsText" dxfId="31" priority="5" operator="containsText" text="土">
      <formula>NOT(ISERROR(SEARCH("土",C10)))</formula>
    </cfRule>
  </conditionalFormatting>
  <conditionalFormatting sqref="H10:J41">
    <cfRule type="cellIs" dxfId="3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CFB1-5CAC-43FA-8F75-ECED4BF93981}">
  <sheetPr codeName="Sheet41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38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73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29" priority="1" operator="containsText" text="日">
      <formula>NOT(ISERROR(SEARCH("日",C39)))</formula>
    </cfRule>
    <cfRule type="containsText" dxfId="28" priority="2" operator="containsText" text="土">
      <formula>NOT(ISERROR(SEARCH("土",C39)))</formula>
    </cfRule>
  </conditionalFormatting>
  <conditionalFormatting sqref="D39:E41 C11:E38 C10 E10">
    <cfRule type="containsText" dxfId="27" priority="4" operator="containsText" text="日">
      <formula>NOT(ISERROR(SEARCH("日",C10)))</formula>
    </cfRule>
    <cfRule type="containsText" dxfId="26" priority="5" operator="containsText" text="土">
      <formula>NOT(ISERROR(SEARCH("土",C10)))</formula>
    </cfRule>
  </conditionalFormatting>
  <conditionalFormatting sqref="H10:J41">
    <cfRule type="cellIs" dxfId="2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53F58-7772-4E32-A7CC-6DE4B0038C3B}">
  <sheetPr codeName="Sheet42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39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74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24" priority="1" operator="containsText" text="日">
      <formula>NOT(ISERROR(SEARCH("日",C39)))</formula>
    </cfRule>
    <cfRule type="containsText" dxfId="23" priority="2" operator="containsText" text="土">
      <formula>NOT(ISERROR(SEARCH("土",C39)))</formula>
    </cfRule>
  </conditionalFormatting>
  <conditionalFormatting sqref="D39:E41 C11:E38 C10 E10">
    <cfRule type="containsText" dxfId="22" priority="4" operator="containsText" text="日">
      <formula>NOT(ISERROR(SEARCH("日",C10)))</formula>
    </cfRule>
    <cfRule type="containsText" dxfId="21" priority="5" operator="containsText" text="土">
      <formula>NOT(ISERROR(SEARCH("土",C10)))</formula>
    </cfRule>
  </conditionalFormatting>
  <conditionalFormatting sqref="H10:J41">
    <cfRule type="cellIs" dxfId="2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FBC13-6381-4901-AADD-19082248AA65}">
  <sheetPr codeName="Sheet43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40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75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19" priority="1" operator="containsText" text="日">
      <formula>NOT(ISERROR(SEARCH("日",C39)))</formula>
    </cfRule>
    <cfRule type="containsText" dxfId="18" priority="2" operator="containsText" text="土">
      <formula>NOT(ISERROR(SEARCH("土",C39)))</formula>
    </cfRule>
  </conditionalFormatting>
  <conditionalFormatting sqref="D39:E41 C11:E38 C10 E10">
    <cfRule type="containsText" dxfId="17" priority="4" operator="containsText" text="日">
      <formula>NOT(ISERROR(SEARCH("日",C10)))</formula>
    </cfRule>
    <cfRule type="containsText" dxfId="16" priority="5" operator="containsText" text="土">
      <formula>NOT(ISERROR(SEARCH("土",C10)))</formula>
    </cfRule>
  </conditionalFormatting>
  <conditionalFormatting sqref="H10:J41">
    <cfRule type="cellIs" dxfId="1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18AD0-7408-4CFA-9C9A-EEDA826B3816}">
  <sheetPr codeName="Sheet44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41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84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9:M9"/>
    <mergeCell ref="A1:B1"/>
    <mergeCell ref="D1:E1"/>
    <mergeCell ref="D4:F5"/>
    <mergeCell ref="D6:F7"/>
    <mergeCell ref="D9:E9"/>
  </mergeCells>
  <conditionalFormatting sqref="C39:C41">
    <cfRule type="containsText" dxfId="14" priority="1" operator="containsText" text="日">
      <formula>NOT(ISERROR(SEARCH("日",C39)))</formula>
    </cfRule>
    <cfRule type="containsText" dxfId="13" priority="2" operator="containsText" text="土">
      <formula>NOT(ISERROR(SEARCH("土",C39)))</formula>
    </cfRule>
  </conditionalFormatting>
  <conditionalFormatting sqref="D39:E41 C11:E38 C10 E10">
    <cfRule type="containsText" dxfId="12" priority="4" operator="containsText" text="日">
      <formula>NOT(ISERROR(SEARCH("日",C10)))</formula>
    </cfRule>
    <cfRule type="containsText" dxfId="11" priority="5" operator="containsText" text="土">
      <formula>NOT(ISERROR(SEARCH("土",C10)))</formula>
    </cfRule>
  </conditionalFormatting>
  <conditionalFormatting sqref="H10:J41">
    <cfRule type="cellIs" dxfId="1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5A6F2-43B7-4E4C-A435-6F05B9612736}">
  <sheetPr codeName="Sheet52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49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95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9" priority="1" operator="containsText" text="日">
      <formula>NOT(ISERROR(SEARCH("日",C39)))</formula>
    </cfRule>
    <cfRule type="containsText" dxfId="8" priority="2" operator="containsText" text="土">
      <formula>NOT(ISERROR(SEARCH("土",C39)))</formula>
    </cfRule>
  </conditionalFormatting>
  <conditionalFormatting sqref="D39:E41 C11:E38 C10 E10">
    <cfRule type="containsText" dxfId="7" priority="4" operator="containsText" text="日">
      <formula>NOT(ISERROR(SEARCH("日",C10)))</formula>
    </cfRule>
    <cfRule type="containsText" dxfId="6" priority="5" operator="containsText" text="土">
      <formula>NOT(ISERROR(SEARCH("土",C10)))</formula>
    </cfRule>
  </conditionalFormatting>
  <conditionalFormatting sqref="H10:J41">
    <cfRule type="cellIs" dxfId="5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9F451-90DF-4170-AB53-854A2F1F24C0}">
  <sheetPr codeName="Sheet53"/>
  <dimension ref="A1:Q42"/>
  <sheetViews>
    <sheetView zoomScale="85" zoomScaleNormal="85" workbookViewId="0">
      <selection sqref="A1:B1"/>
    </sheetView>
  </sheetViews>
  <sheetFormatPr defaultColWidth="7.453125" defaultRowHeight="18.75" customHeight="1"/>
  <cols>
    <col min="1" max="3" width="5" style="1" customWidth="1"/>
    <col min="4" max="4" width="3.453125" style="1" customWidth="1"/>
    <col min="5" max="5" width="7.453125" style="1" customWidth="1"/>
    <col min="6" max="12" width="9.453125" style="1" customWidth="1"/>
    <col min="13" max="13" width="33.81640625" style="1" customWidth="1"/>
    <col min="14" max="16384" width="7.453125" style="1"/>
  </cols>
  <sheetData>
    <row r="1" spans="1:17" ht="22.5" customHeight="1" thickBot="1">
      <c r="A1" s="137">
        <f>設定!C5</f>
        <v>2025</v>
      </c>
      <c r="B1" s="137"/>
      <c r="C1" s="2" t="s">
        <v>16</v>
      </c>
      <c r="D1" s="137">
        <f>設定!C7</f>
        <v>4</v>
      </c>
      <c r="E1" s="137"/>
      <c r="F1" s="2" t="s">
        <v>24</v>
      </c>
    </row>
    <row r="2" spans="1:17" ht="9" customHeight="1" thickTop="1">
      <c r="A2" s="3"/>
      <c r="B2" s="3"/>
      <c r="C2" s="3"/>
      <c r="D2" s="3"/>
      <c r="E2" s="3"/>
      <c r="O2" s="36"/>
    </row>
    <row r="3" spans="1:17" ht="18.75" customHeight="1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O3" s="36" t="s">
        <v>25</v>
      </c>
    </row>
    <row r="4" spans="1:17" ht="29.25" customHeight="1">
      <c r="A4" s="5"/>
      <c r="B4" s="5"/>
      <c r="C4" s="5"/>
      <c r="D4" s="131">
        <v>50</v>
      </c>
      <c r="E4" s="131"/>
      <c r="F4" s="131"/>
      <c r="G4" s="6" t="s">
        <v>26</v>
      </c>
      <c r="H4" s="7" t="s">
        <v>27</v>
      </c>
      <c r="I4" s="7" t="s">
        <v>28</v>
      </c>
      <c r="J4" s="7" t="s">
        <v>29</v>
      </c>
      <c r="K4" s="7" t="s">
        <v>30</v>
      </c>
      <c r="L4" s="7" t="s">
        <v>11</v>
      </c>
      <c r="M4" s="37" t="s">
        <v>12</v>
      </c>
      <c r="O4" s="1">
        <v>1</v>
      </c>
      <c r="P4" s="38" t="s">
        <v>6</v>
      </c>
      <c r="Q4" s="1" t="s">
        <v>31</v>
      </c>
    </row>
    <row r="5" spans="1:17" ht="18.75" customHeight="1">
      <c r="A5" s="4"/>
      <c r="B5" s="4"/>
      <c r="C5" s="4"/>
      <c r="D5" s="131"/>
      <c r="E5" s="131"/>
      <c r="F5" s="131"/>
      <c r="G5" s="8"/>
      <c r="H5" s="8">
        <f>COUNTIF($D$10:$D$41,1)</f>
        <v>0</v>
      </c>
      <c r="I5" s="8">
        <f>COUNTIF($D$10:$D$41,2)</f>
        <v>0</v>
      </c>
      <c r="J5" s="8">
        <f>COUNTIF($D$10:$D$41,3)</f>
        <v>0</v>
      </c>
      <c r="K5" s="8">
        <f>COUNTIF($D$10:$D$41,4)</f>
        <v>0</v>
      </c>
      <c r="L5" s="8">
        <f>COUNTIF($D$10:$D$41,5)</f>
        <v>0</v>
      </c>
      <c r="M5" s="8">
        <f>COUNTIF($D$10:$D$41,6)</f>
        <v>0</v>
      </c>
      <c r="O5" s="1">
        <v>2</v>
      </c>
      <c r="P5" s="38" t="s">
        <v>8</v>
      </c>
      <c r="Q5" s="1" t="s">
        <v>32</v>
      </c>
    </row>
    <row r="6" spans="1:17" ht="29.25" customHeight="1">
      <c r="A6" s="9"/>
      <c r="B6" s="4"/>
      <c r="C6" s="4"/>
      <c r="D6" s="132" t="s">
        <v>96</v>
      </c>
      <c r="E6" s="132"/>
      <c r="F6" s="132"/>
      <c r="G6" s="10" t="s">
        <v>33</v>
      </c>
      <c r="H6" s="10" t="s">
        <v>34</v>
      </c>
      <c r="I6" s="10"/>
      <c r="J6" s="10"/>
      <c r="K6" s="10"/>
      <c r="L6" s="7"/>
      <c r="M6" s="7"/>
      <c r="O6" s="1">
        <v>3</v>
      </c>
      <c r="P6" s="38" t="s">
        <v>9</v>
      </c>
      <c r="Q6" s="1" t="s">
        <v>35</v>
      </c>
    </row>
    <row r="7" spans="1:17" ht="18.75" customHeight="1">
      <c r="A7" s="4"/>
      <c r="B7" s="4"/>
      <c r="C7" s="4"/>
      <c r="D7" s="132"/>
      <c r="E7" s="132"/>
      <c r="F7" s="132"/>
      <c r="G7" s="11">
        <f>SUM(I10:I41)</f>
        <v>0</v>
      </c>
      <c r="H7" s="11">
        <f>SUM(J10:J41)</f>
        <v>0</v>
      </c>
      <c r="I7" s="11"/>
      <c r="J7" s="11"/>
      <c r="K7" s="11"/>
      <c r="L7" s="8"/>
      <c r="M7" s="8"/>
      <c r="O7" s="1">
        <v>4</v>
      </c>
      <c r="P7" s="38" t="s">
        <v>10</v>
      </c>
      <c r="Q7" s="1" t="s">
        <v>36</v>
      </c>
    </row>
    <row r="8" spans="1:17" ht="15.75" customHeight="1">
      <c r="A8" s="12"/>
      <c r="B8" s="12"/>
      <c r="C8" s="12"/>
      <c r="D8" s="12"/>
      <c r="E8" s="12"/>
      <c r="O8" s="1">
        <v>5</v>
      </c>
      <c r="P8" s="38" t="s">
        <v>11</v>
      </c>
      <c r="Q8" s="36" t="s">
        <v>37</v>
      </c>
    </row>
    <row r="9" spans="1:17" ht="27.75" customHeight="1" thickBot="1">
      <c r="A9" s="13" t="s">
        <v>17</v>
      </c>
      <c r="B9" s="13" t="s">
        <v>38</v>
      </c>
      <c r="C9" s="13" t="s">
        <v>39</v>
      </c>
      <c r="D9" s="138" t="s">
        <v>40</v>
      </c>
      <c r="E9" s="139"/>
      <c r="F9" s="14" t="s">
        <v>41</v>
      </c>
      <c r="G9" s="14" t="s">
        <v>42</v>
      </c>
      <c r="H9" s="15" t="s">
        <v>43</v>
      </c>
      <c r="I9" s="15" t="s">
        <v>44</v>
      </c>
      <c r="J9" s="15" t="s">
        <v>34</v>
      </c>
      <c r="K9" s="140" t="s">
        <v>45</v>
      </c>
      <c r="L9" s="141"/>
      <c r="M9" s="142"/>
      <c r="O9" s="1">
        <v>6</v>
      </c>
      <c r="P9" s="38" t="s">
        <v>12</v>
      </c>
      <c r="Q9" s="36" t="s">
        <v>46</v>
      </c>
    </row>
    <row r="10" spans="1:17" ht="18.75" customHeight="1">
      <c r="A10" s="16">
        <f>IF(設定!C11=0,"",設定!C11)</f>
        <v>4</v>
      </c>
      <c r="B10" s="16">
        <f>IF(設定!D11=0,"",設定!D11)</f>
        <v>1</v>
      </c>
      <c r="C10" s="17" t="str">
        <f t="shared" ref="C10:C41" si="0">IF(OR(A10="",B10=""),"",CHOOSE(WEEKDAY($A$1&amp;"/"&amp;A10&amp;"/"&amp;B10,1),"日","月","火","水","木","金","土"))</f>
        <v>火</v>
      </c>
      <c r="D10" s="68"/>
      <c r="E10" s="18" t="str">
        <f>IF(D10="","",CHOOSE(D10,"出勤","欠勤","遅刻","早退","休日出勤","有給休暇"))</f>
        <v/>
      </c>
      <c r="F10" s="19"/>
      <c r="G10" s="20"/>
      <c r="H10" s="21">
        <f>IF(G10="",0,設定!$M$23)</f>
        <v>0</v>
      </c>
      <c r="I10" s="39">
        <f>G10-F10-H10</f>
        <v>0</v>
      </c>
      <c r="J10" s="40">
        <f>IF(D10=1,IF(IF(G10-設定!$M$20&lt;0,0,G10-設定!$M$20)&gt;設定!$R$44,設定!$R$44,IF(G10-設定!$M$20&lt;0,0,G10-設定!$M$20)),0)</f>
        <v>0</v>
      </c>
      <c r="K10" s="143"/>
      <c r="L10" s="144"/>
      <c r="M10" s="145"/>
      <c r="N10" s="41"/>
    </row>
    <row r="11" spans="1:17" ht="18.75" customHeight="1">
      <c r="A11" s="22">
        <f>IF(設定!C12=0,"",設定!C12)</f>
        <v>4</v>
      </c>
      <c r="B11" s="22">
        <f>IF(設定!D12=0,"",設定!D12)</f>
        <v>2</v>
      </c>
      <c r="C11" s="17" t="str">
        <f t="shared" si="0"/>
        <v>水</v>
      </c>
      <c r="D11" s="61"/>
      <c r="E11" s="24" t="str">
        <f t="shared" ref="E11:E41" si="1">IF(D11="","",CHOOSE(D11,"出勤","欠勤","遅刻","早退","休日出勤","有給休暇"))</f>
        <v/>
      </c>
      <c r="F11" s="25"/>
      <c r="G11" s="26"/>
      <c r="H11" s="27">
        <f>IF(G11="",0,設定!$M$23)</f>
        <v>0</v>
      </c>
      <c r="I11" s="40">
        <f t="shared" ref="I11:I41" si="2">G11-F11-H11</f>
        <v>0</v>
      </c>
      <c r="J11" s="40">
        <f>IF(D11=1,IF(IF(G11-設定!$M$20&lt;0,0,G11-設定!$M$20)&gt;設定!$R$44,設定!$R$44,IF(G11-設定!$M$20&lt;0,0,G11-設定!$M$20)),0)</f>
        <v>0</v>
      </c>
      <c r="K11" s="136"/>
      <c r="L11" s="134"/>
      <c r="M11" s="135"/>
    </row>
    <row r="12" spans="1:17" ht="18.75" customHeight="1">
      <c r="A12" s="16">
        <f>IF(設定!C13=0,"",設定!C13)</f>
        <v>4</v>
      </c>
      <c r="B12" s="16">
        <f>IF(設定!D13=0,"",設定!D13)</f>
        <v>3</v>
      </c>
      <c r="C12" s="17" t="str">
        <f t="shared" si="0"/>
        <v>木</v>
      </c>
      <c r="D12" s="23"/>
      <c r="E12" s="24" t="str">
        <f t="shared" si="1"/>
        <v/>
      </c>
      <c r="F12" s="25"/>
      <c r="G12" s="26"/>
      <c r="H12" s="27">
        <f>IF(G12="",0,設定!$M$23)</f>
        <v>0</v>
      </c>
      <c r="I12" s="40">
        <f t="shared" si="2"/>
        <v>0</v>
      </c>
      <c r="J12" s="40">
        <f>IF(D12=1,IF(IF(G12-設定!$M$20&lt;0,0,G12-設定!$M$20)&gt;設定!$R$44,設定!$R$44,IF(G12-設定!$M$20&lt;0,0,G12-設定!$M$20)),0)</f>
        <v>0</v>
      </c>
      <c r="K12" s="136"/>
      <c r="L12" s="134"/>
      <c r="M12" s="135"/>
    </row>
    <row r="13" spans="1:17" ht="18.75" customHeight="1">
      <c r="A13" s="22">
        <f>IF(設定!C14=0,"",設定!C14)</f>
        <v>4</v>
      </c>
      <c r="B13" s="22">
        <f>IF(設定!D14=0,"",設定!D14)</f>
        <v>4</v>
      </c>
      <c r="C13" s="17" t="str">
        <f t="shared" si="0"/>
        <v>金</v>
      </c>
      <c r="D13" s="23"/>
      <c r="E13" s="24" t="str">
        <f t="shared" si="1"/>
        <v/>
      </c>
      <c r="F13" s="25"/>
      <c r="G13" s="26"/>
      <c r="H13" s="27">
        <f>IF(G13="",0,設定!$M$23)</f>
        <v>0</v>
      </c>
      <c r="I13" s="40">
        <f t="shared" si="2"/>
        <v>0</v>
      </c>
      <c r="J13" s="40">
        <f>IF(D13=1,IF(IF(G13-設定!$M$20&lt;0,0,G13-設定!$M$20)&gt;設定!$R$44,設定!$R$44,IF(G13-設定!$M$20&lt;0,0,G13-設定!$M$20)),0)</f>
        <v>0</v>
      </c>
      <c r="K13" s="136"/>
      <c r="L13" s="134"/>
      <c r="M13" s="135"/>
    </row>
    <row r="14" spans="1:17" ht="18.75" customHeight="1">
      <c r="A14" s="16">
        <f>IF(設定!C15=0,"",設定!C15)</f>
        <v>4</v>
      </c>
      <c r="B14" s="16">
        <f>IF(設定!D15=0,"",設定!D15)</f>
        <v>5</v>
      </c>
      <c r="C14" s="17" t="str">
        <f t="shared" si="0"/>
        <v>土</v>
      </c>
      <c r="D14" s="23"/>
      <c r="E14" s="24" t="str">
        <f t="shared" si="1"/>
        <v/>
      </c>
      <c r="F14" s="25"/>
      <c r="G14" s="26"/>
      <c r="H14" s="27">
        <f>IF(G14="",0,設定!$M$23)</f>
        <v>0</v>
      </c>
      <c r="I14" s="40">
        <f t="shared" si="2"/>
        <v>0</v>
      </c>
      <c r="J14" s="40">
        <f>IF(D14=1,IF(IF(G14-設定!$M$20&lt;0,0,G14-設定!$M$20)&gt;設定!$R$44,設定!$R$44,IF(G14-設定!$M$20&lt;0,0,G14-設定!$M$20)),0)</f>
        <v>0</v>
      </c>
      <c r="K14" s="136"/>
      <c r="L14" s="134"/>
      <c r="M14" s="135"/>
    </row>
    <row r="15" spans="1:17" ht="18.75" customHeight="1">
      <c r="A15" s="22">
        <f>IF(設定!C16=0,"",設定!C16)</f>
        <v>4</v>
      </c>
      <c r="B15" s="22">
        <f>IF(設定!D16=0,"",設定!D16)</f>
        <v>6</v>
      </c>
      <c r="C15" s="17" t="str">
        <f t="shared" si="0"/>
        <v>日</v>
      </c>
      <c r="D15" s="23"/>
      <c r="E15" s="24" t="str">
        <f t="shared" si="1"/>
        <v/>
      </c>
      <c r="F15" s="25"/>
      <c r="G15" s="26"/>
      <c r="H15" s="27">
        <f>IF(G15="",0,設定!$M$23)</f>
        <v>0</v>
      </c>
      <c r="I15" s="40">
        <f t="shared" si="2"/>
        <v>0</v>
      </c>
      <c r="J15" s="40">
        <f>IF(D15=1,IF(IF(G15-設定!$M$20&lt;0,0,G15-設定!$M$20)&gt;設定!$R$44,設定!$R$44,IF(G15-設定!$M$20&lt;0,0,G15-設定!$M$20)),0)</f>
        <v>0</v>
      </c>
      <c r="K15" s="136"/>
      <c r="L15" s="134"/>
      <c r="M15" s="135"/>
    </row>
    <row r="16" spans="1:17" ht="18.75" customHeight="1">
      <c r="A16" s="16">
        <f>IF(設定!C17=0,"",設定!C17)</f>
        <v>4</v>
      </c>
      <c r="B16" s="16">
        <f>IF(設定!D17=0,"",設定!D17)</f>
        <v>7</v>
      </c>
      <c r="C16" s="17" t="str">
        <f t="shared" si="0"/>
        <v>月</v>
      </c>
      <c r="D16" s="23"/>
      <c r="E16" s="24" t="str">
        <f t="shared" si="1"/>
        <v/>
      </c>
      <c r="F16" s="25"/>
      <c r="G16" s="26"/>
      <c r="H16" s="27">
        <f>IF(G16="",0,設定!$M$23)</f>
        <v>0</v>
      </c>
      <c r="I16" s="40">
        <f t="shared" si="2"/>
        <v>0</v>
      </c>
      <c r="J16" s="40">
        <f>IF(D16=1,IF(IF(G16-設定!$M$20&lt;0,0,G16-設定!$M$20)&gt;設定!$R$44,設定!$R$44,IF(G16-設定!$M$20&lt;0,0,G16-設定!$M$20)),0)</f>
        <v>0</v>
      </c>
      <c r="K16" s="136"/>
      <c r="L16" s="134"/>
      <c r="M16" s="135"/>
    </row>
    <row r="17" spans="1:13" ht="18.75" customHeight="1">
      <c r="A17" s="22">
        <f>IF(設定!C18=0,"",設定!C18)</f>
        <v>4</v>
      </c>
      <c r="B17" s="22">
        <f>IF(設定!D18=0,"",設定!D18)</f>
        <v>8</v>
      </c>
      <c r="C17" s="17" t="str">
        <f t="shared" si="0"/>
        <v>火</v>
      </c>
      <c r="D17" s="23"/>
      <c r="E17" s="24" t="str">
        <f t="shared" si="1"/>
        <v/>
      </c>
      <c r="F17" s="25"/>
      <c r="G17" s="26"/>
      <c r="H17" s="27">
        <f>IF(G17="",0,設定!$M$23)</f>
        <v>0</v>
      </c>
      <c r="I17" s="40">
        <f t="shared" si="2"/>
        <v>0</v>
      </c>
      <c r="J17" s="40">
        <f>IF(D17=1,IF(IF(G17-設定!$M$20&lt;0,0,G17-設定!$M$20)&gt;設定!$R$44,設定!$R$44,IF(G17-設定!$M$20&lt;0,0,G17-設定!$M$20)),0)</f>
        <v>0</v>
      </c>
      <c r="K17" s="136"/>
      <c r="L17" s="134"/>
      <c r="M17" s="135"/>
    </row>
    <row r="18" spans="1:13" ht="21.75" customHeight="1">
      <c r="A18" s="16">
        <f>IF(設定!C19=0,"",設定!C19)</f>
        <v>4</v>
      </c>
      <c r="B18" s="16">
        <f>IF(設定!D19=0,"",設定!D19)</f>
        <v>9</v>
      </c>
      <c r="C18" s="17" t="str">
        <f t="shared" si="0"/>
        <v>水</v>
      </c>
      <c r="D18" s="23"/>
      <c r="E18" s="24" t="str">
        <f t="shared" si="1"/>
        <v/>
      </c>
      <c r="F18" s="25"/>
      <c r="G18" s="26"/>
      <c r="H18" s="27">
        <f>IF(G18="",0,設定!$M$23)</f>
        <v>0</v>
      </c>
      <c r="I18" s="40">
        <f t="shared" si="2"/>
        <v>0</v>
      </c>
      <c r="J18" s="40">
        <f>IF(D18=1,IF(IF(G18-設定!$M$20&lt;0,0,G18-設定!$M$20)&gt;設定!$R$44,設定!$R$44,IF(G18-設定!$M$20&lt;0,0,G18-設定!$M$20)),0)</f>
        <v>0</v>
      </c>
      <c r="K18" s="133"/>
      <c r="L18" s="134"/>
      <c r="M18" s="135"/>
    </row>
    <row r="19" spans="1:13" ht="18.75" customHeight="1">
      <c r="A19" s="22">
        <f>IF(設定!C20=0,"",設定!C20)</f>
        <v>4</v>
      </c>
      <c r="B19" s="22">
        <f>IF(設定!D20=0,"",設定!D20)</f>
        <v>10</v>
      </c>
      <c r="C19" s="17" t="str">
        <f t="shared" si="0"/>
        <v>木</v>
      </c>
      <c r="D19" s="23"/>
      <c r="E19" s="24" t="str">
        <f t="shared" si="1"/>
        <v/>
      </c>
      <c r="F19" s="25"/>
      <c r="G19" s="26"/>
      <c r="H19" s="27">
        <f>IF(G19="",0,設定!$M$23)</f>
        <v>0</v>
      </c>
      <c r="I19" s="40">
        <f t="shared" si="2"/>
        <v>0</v>
      </c>
      <c r="J19" s="40">
        <f>IF(D19=1,IF(IF(G19-設定!$M$20&lt;0,0,G19-設定!$M$20)&gt;設定!$R$44,設定!$R$44,IF(G19-設定!$M$20&lt;0,0,G19-設定!$M$20)),0)</f>
        <v>0</v>
      </c>
      <c r="K19" s="136"/>
      <c r="L19" s="134"/>
      <c r="M19" s="135"/>
    </row>
    <row r="20" spans="1:13" ht="18.75" customHeight="1">
      <c r="A20" s="16">
        <f>IF(設定!C21=0,"",設定!C21)</f>
        <v>4</v>
      </c>
      <c r="B20" s="16">
        <f>IF(設定!D21=0,"",設定!D21)</f>
        <v>11</v>
      </c>
      <c r="C20" s="17" t="str">
        <f t="shared" si="0"/>
        <v>金</v>
      </c>
      <c r="D20" s="23"/>
      <c r="E20" s="24" t="str">
        <f t="shared" si="1"/>
        <v/>
      </c>
      <c r="F20" s="25"/>
      <c r="G20" s="26"/>
      <c r="H20" s="27">
        <f>IF(G20="",0,設定!$M$23)</f>
        <v>0</v>
      </c>
      <c r="I20" s="40">
        <f t="shared" si="2"/>
        <v>0</v>
      </c>
      <c r="J20" s="40">
        <f>IF(D20=1,IF(IF(G20-設定!$M$20&lt;0,0,G20-設定!$M$20)&gt;設定!$R$44,設定!$R$44,IF(G20-設定!$M$20&lt;0,0,G20-設定!$M$20)),0)</f>
        <v>0</v>
      </c>
      <c r="K20" s="136"/>
      <c r="L20" s="134"/>
      <c r="M20" s="135"/>
    </row>
    <row r="21" spans="1:13" ht="21.75" customHeight="1">
      <c r="A21" s="22">
        <f>IF(設定!C22=0,"",設定!C22)</f>
        <v>4</v>
      </c>
      <c r="B21" s="22">
        <f>IF(設定!D22=0,"",設定!D22)</f>
        <v>12</v>
      </c>
      <c r="C21" s="17" t="str">
        <f t="shared" si="0"/>
        <v>土</v>
      </c>
      <c r="D21" s="23"/>
      <c r="E21" s="24" t="str">
        <f t="shared" si="1"/>
        <v/>
      </c>
      <c r="F21" s="25"/>
      <c r="G21" s="26"/>
      <c r="H21" s="27">
        <f>IF(G21="",0,設定!$M$23)</f>
        <v>0</v>
      </c>
      <c r="I21" s="40">
        <f t="shared" si="2"/>
        <v>0</v>
      </c>
      <c r="J21" s="40">
        <f>IF(D21=1,IF(IF(G21-設定!$M$20&lt;0,0,G21-設定!$M$20)&gt;設定!$R$44,設定!$R$44,IF(G21-設定!$M$20&lt;0,0,G21-設定!$M$20)),0)</f>
        <v>0</v>
      </c>
      <c r="K21" s="133"/>
      <c r="L21" s="134"/>
      <c r="M21" s="135"/>
    </row>
    <row r="22" spans="1:13" ht="18.75" customHeight="1">
      <c r="A22" s="16">
        <f>IF(設定!C23=0,"",設定!C23)</f>
        <v>4</v>
      </c>
      <c r="B22" s="16">
        <f>IF(設定!D23=0,"",設定!D23)</f>
        <v>13</v>
      </c>
      <c r="C22" s="17" t="str">
        <f t="shared" si="0"/>
        <v>日</v>
      </c>
      <c r="D22" s="23"/>
      <c r="E22" s="24" t="str">
        <f t="shared" si="1"/>
        <v/>
      </c>
      <c r="F22" s="25"/>
      <c r="G22" s="26"/>
      <c r="H22" s="27">
        <f>IF(G22="",0,設定!$M$23)</f>
        <v>0</v>
      </c>
      <c r="I22" s="40">
        <f t="shared" si="2"/>
        <v>0</v>
      </c>
      <c r="J22" s="40">
        <f>IF(D22=1,IF(IF(G22-設定!$M$20&lt;0,0,G22-設定!$M$20)&gt;設定!$R$44,設定!$R$44,IF(G22-設定!$M$20&lt;0,0,G22-設定!$M$20)),0)</f>
        <v>0</v>
      </c>
      <c r="K22" s="136"/>
      <c r="L22" s="134"/>
      <c r="M22" s="135"/>
    </row>
    <row r="23" spans="1:13" ht="18.75" customHeight="1">
      <c r="A23" s="22">
        <f>IF(設定!C24=0,"",設定!C24)</f>
        <v>4</v>
      </c>
      <c r="B23" s="22">
        <f>IF(設定!D24=0,"",設定!D24)</f>
        <v>14</v>
      </c>
      <c r="C23" s="17" t="str">
        <f t="shared" si="0"/>
        <v>月</v>
      </c>
      <c r="D23" s="23"/>
      <c r="E23" s="24" t="str">
        <f t="shared" si="1"/>
        <v/>
      </c>
      <c r="F23" s="25"/>
      <c r="G23" s="26"/>
      <c r="H23" s="27">
        <f>IF(G23="",0,設定!$M$23)</f>
        <v>0</v>
      </c>
      <c r="I23" s="40">
        <f t="shared" si="2"/>
        <v>0</v>
      </c>
      <c r="J23" s="40">
        <f>IF(D23=1,IF(IF(G23-設定!$M$20&lt;0,0,G23-設定!$M$20)&gt;設定!$R$44,設定!$R$44,IF(G23-設定!$M$20&lt;0,0,G23-設定!$M$20)),0)</f>
        <v>0</v>
      </c>
      <c r="K23" s="136"/>
      <c r="L23" s="134"/>
      <c r="M23" s="135"/>
    </row>
    <row r="24" spans="1:13" ht="18.75" customHeight="1">
      <c r="A24" s="16">
        <f>IF(設定!C25=0,"",設定!C25)</f>
        <v>4</v>
      </c>
      <c r="B24" s="16">
        <f>IF(設定!D25=0,"",設定!D25)</f>
        <v>15</v>
      </c>
      <c r="C24" s="17" t="str">
        <f t="shared" si="0"/>
        <v>火</v>
      </c>
      <c r="D24" s="23"/>
      <c r="E24" s="24" t="str">
        <f t="shared" si="1"/>
        <v/>
      </c>
      <c r="F24" s="25"/>
      <c r="G24" s="26"/>
      <c r="H24" s="27">
        <f>IF(G24="",0,設定!$M$23)</f>
        <v>0</v>
      </c>
      <c r="I24" s="40">
        <f t="shared" si="2"/>
        <v>0</v>
      </c>
      <c r="J24" s="40">
        <f>IF(D24=1,IF(IF(G24-設定!$M$20&lt;0,0,G24-設定!$M$20)&gt;設定!$R$44,設定!$R$44,IF(G24-設定!$M$20&lt;0,0,G24-設定!$M$20)),0)</f>
        <v>0</v>
      </c>
      <c r="K24" s="136"/>
      <c r="L24" s="134"/>
      <c r="M24" s="135"/>
    </row>
    <row r="25" spans="1:13" ht="18.75" customHeight="1">
      <c r="A25" s="22">
        <f>IF(設定!C26=0,"",設定!C26)</f>
        <v>4</v>
      </c>
      <c r="B25" s="22">
        <f>IF(設定!D26=0,"",設定!D26)</f>
        <v>16</v>
      </c>
      <c r="C25" s="17" t="str">
        <f t="shared" si="0"/>
        <v>水</v>
      </c>
      <c r="D25" s="23"/>
      <c r="E25" s="24" t="str">
        <f t="shared" si="1"/>
        <v/>
      </c>
      <c r="F25" s="25"/>
      <c r="G25" s="26"/>
      <c r="H25" s="27">
        <f>IF(G25="",0,設定!$M$23)</f>
        <v>0</v>
      </c>
      <c r="I25" s="40">
        <f t="shared" si="2"/>
        <v>0</v>
      </c>
      <c r="J25" s="40">
        <f>IF(D25=1,IF(IF(G25-設定!$M$20&lt;0,0,G25-設定!$M$20)&gt;設定!$R$44,設定!$R$44,IF(G25-設定!$M$20&lt;0,0,G25-設定!$M$20)),0)</f>
        <v>0</v>
      </c>
      <c r="K25" s="136"/>
      <c r="L25" s="134"/>
      <c r="M25" s="135"/>
    </row>
    <row r="26" spans="1:13" ht="18.75" customHeight="1">
      <c r="A26" s="16">
        <f>IF(設定!C27=0,"",設定!C27)</f>
        <v>4</v>
      </c>
      <c r="B26" s="16">
        <f>IF(設定!D27=0,"",設定!D27)</f>
        <v>17</v>
      </c>
      <c r="C26" s="17" t="str">
        <f t="shared" si="0"/>
        <v>木</v>
      </c>
      <c r="D26" s="23"/>
      <c r="E26" s="24" t="str">
        <f t="shared" si="1"/>
        <v/>
      </c>
      <c r="F26" s="25"/>
      <c r="G26" s="26"/>
      <c r="H26" s="27">
        <f>IF(G26="",0,設定!$M$23)</f>
        <v>0</v>
      </c>
      <c r="I26" s="40">
        <f t="shared" si="2"/>
        <v>0</v>
      </c>
      <c r="J26" s="40">
        <f>IF(D26=1,IF(IF(G26-設定!$M$20&lt;0,0,G26-設定!$M$20)&gt;設定!$R$44,設定!$R$44,IF(G26-設定!$M$20&lt;0,0,G26-設定!$M$20)),0)</f>
        <v>0</v>
      </c>
      <c r="K26" s="136"/>
      <c r="L26" s="134"/>
      <c r="M26" s="135"/>
    </row>
    <row r="27" spans="1:13" ht="18.75" customHeight="1">
      <c r="A27" s="22">
        <f>IF(設定!C28=0,"",設定!C28)</f>
        <v>4</v>
      </c>
      <c r="B27" s="22">
        <f>IF(設定!D28=0,"",設定!D28)</f>
        <v>18</v>
      </c>
      <c r="C27" s="17" t="str">
        <f t="shared" si="0"/>
        <v>金</v>
      </c>
      <c r="D27" s="23"/>
      <c r="E27" s="24" t="str">
        <f t="shared" si="1"/>
        <v/>
      </c>
      <c r="F27" s="25"/>
      <c r="G27" s="26"/>
      <c r="H27" s="27">
        <f>IF(G27="",0,設定!$M$23)</f>
        <v>0</v>
      </c>
      <c r="I27" s="40">
        <f t="shared" si="2"/>
        <v>0</v>
      </c>
      <c r="J27" s="40">
        <f>IF(D27=1,IF(IF(G27-設定!$M$20&lt;0,0,G27-設定!$M$20)&gt;設定!$R$44,設定!$R$44,IF(G27-設定!$M$20&lt;0,0,G27-設定!$M$20)),0)</f>
        <v>0</v>
      </c>
      <c r="K27" s="136"/>
      <c r="L27" s="134"/>
      <c r="M27" s="135"/>
    </row>
    <row r="28" spans="1:13" ht="18.75" customHeight="1">
      <c r="A28" s="22">
        <f>IF(設定!C29=0,"",設定!C29)</f>
        <v>4</v>
      </c>
      <c r="B28" s="16">
        <f>IF(設定!D29=0,"",設定!D29)</f>
        <v>19</v>
      </c>
      <c r="C28" s="17" t="str">
        <f t="shared" si="0"/>
        <v>土</v>
      </c>
      <c r="D28" s="23"/>
      <c r="E28" s="24" t="str">
        <f t="shared" si="1"/>
        <v/>
      </c>
      <c r="F28" s="25"/>
      <c r="G28" s="26"/>
      <c r="H28" s="27">
        <f>IF(G28="",0,設定!$M$23)</f>
        <v>0</v>
      </c>
      <c r="I28" s="40">
        <f t="shared" si="2"/>
        <v>0</v>
      </c>
      <c r="J28" s="40">
        <f>IF(D28=1,IF(IF(G28-設定!$M$20&lt;0,0,G28-設定!$M$20)&gt;設定!$R$44,設定!$R$44,IF(G28-設定!$M$20&lt;0,0,G28-設定!$M$20)),0)</f>
        <v>0</v>
      </c>
      <c r="K28" s="136"/>
      <c r="L28" s="134"/>
      <c r="M28" s="135"/>
    </row>
    <row r="29" spans="1:13" ht="21.75" customHeight="1">
      <c r="A29" s="22">
        <f>IF(設定!C30=0,"",設定!C30)</f>
        <v>4</v>
      </c>
      <c r="B29" s="22">
        <f>IF(設定!D30=0,"",設定!D30)</f>
        <v>20</v>
      </c>
      <c r="C29" s="17" t="str">
        <f t="shared" si="0"/>
        <v>日</v>
      </c>
      <c r="D29" s="23"/>
      <c r="E29" s="24" t="str">
        <f t="shared" si="1"/>
        <v/>
      </c>
      <c r="F29" s="25"/>
      <c r="G29" s="26"/>
      <c r="H29" s="27">
        <f>IF(G29="",0,設定!$M$23)</f>
        <v>0</v>
      </c>
      <c r="I29" s="40">
        <f t="shared" si="2"/>
        <v>0</v>
      </c>
      <c r="J29" s="40">
        <f>IF(D29=1,IF(IF(G29-設定!$M$20&lt;0,0,G29-設定!$M$20)&gt;設定!$R$44,設定!$R$44,IF(G29-設定!$M$20&lt;0,0,G29-設定!$M$20)),0)</f>
        <v>0</v>
      </c>
      <c r="K29" s="133"/>
      <c r="L29" s="134"/>
      <c r="M29" s="135"/>
    </row>
    <row r="30" spans="1:13" ht="18.75" customHeight="1">
      <c r="A30" s="22">
        <f>IF(設定!C31=0,"",設定!C31)</f>
        <v>4</v>
      </c>
      <c r="B30" s="16">
        <f>IF(設定!D31=0,"",設定!D31)</f>
        <v>21</v>
      </c>
      <c r="C30" s="17" t="str">
        <f t="shared" si="0"/>
        <v>月</v>
      </c>
      <c r="D30" s="23"/>
      <c r="E30" s="24" t="str">
        <f t="shared" si="1"/>
        <v/>
      </c>
      <c r="F30" s="25"/>
      <c r="G30" s="26"/>
      <c r="H30" s="27">
        <f>IF(G30="",0,設定!$M$23)</f>
        <v>0</v>
      </c>
      <c r="I30" s="40">
        <f t="shared" si="2"/>
        <v>0</v>
      </c>
      <c r="J30" s="40">
        <f>IF(D30=1,IF(IF(G30-設定!$M$20&lt;0,0,G30-設定!$M$20)&gt;設定!$R$44,設定!$R$44,IF(G30-設定!$M$20&lt;0,0,G30-設定!$M$20)),0)</f>
        <v>0</v>
      </c>
      <c r="K30" s="136"/>
      <c r="L30" s="134"/>
      <c r="M30" s="135"/>
    </row>
    <row r="31" spans="1:13" ht="18.75" customHeight="1">
      <c r="A31" s="22">
        <f>IF(設定!C32=0,"",設定!C32)</f>
        <v>4</v>
      </c>
      <c r="B31" s="22">
        <f>IF(設定!D32=0,"",設定!D32)</f>
        <v>22</v>
      </c>
      <c r="C31" s="17" t="str">
        <f t="shared" si="0"/>
        <v>火</v>
      </c>
      <c r="D31" s="23"/>
      <c r="E31" s="24" t="str">
        <f t="shared" si="1"/>
        <v/>
      </c>
      <c r="F31" s="25"/>
      <c r="G31" s="26"/>
      <c r="H31" s="27">
        <f>IF(G31="",0,設定!$M$23)</f>
        <v>0</v>
      </c>
      <c r="I31" s="40">
        <f t="shared" si="2"/>
        <v>0</v>
      </c>
      <c r="J31" s="40">
        <f>IF(D31=1,IF(IF(G31-設定!$M$20&lt;0,0,G31-設定!$M$20)&gt;設定!$R$44,設定!$R$44,IF(G31-設定!$M$20&lt;0,0,G31-設定!$M$20)),0)</f>
        <v>0</v>
      </c>
      <c r="K31" s="136"/>
      <c r="L31" s="134"/>
      <c r="M31" s="135"/>
    </row>
    <row r="32" spans="1:13" ht="18.75" customHeight="1">
      <c r="A32" s="22">
        <f>IF(設定!C33=0,"",設定!C33)</f>
        <v>4</v>
      </c>
      <c r="B32" s="16">
        <f>IF(設定!D33=0,"",設定!D33)</f>
        <v>23</v>
      </c>
      <c r="C32" s="17" t="str">
        <f t="shared" si="0"/>
        <v>水</v>
      </c>
      <c r="D32" s="23"/>
      <c r="E32" s="24" t="str">
        <f t="shared" si="1"/>
        <v/>
      </c>
      <c r="F32" s="25"/>
      <c r="G32" s="26"/>
      <c r="H32" s="27">
        <f>IF(G32="",0,設定!$M$23)</f>
        <v>0</v>
      </c>
      <c r="I32" s="40">
        <f t="shared" si="2"/>
        <v>0</v>
      </c>
      <c r="J32" s="40">
        <f>IF(D32=1,IF(IF(G32-設定!$M$20&lt;0,0,G32-設定!$M$20)&gt;設定!$R$44,設定!$R$44,IF(G32-設定!$M$20&lt;0,0,G32-設定!$M$20)),0)</f>
        <v>0</v>
      </c>
      <c r="K32" s="136"/>
      <c r="L32" s="134"/>
      <c r="M32" s="135"/>
    </row>
    <row r="33" spans="1:13" ht="18.75" customHeight="1">
      <c r="A33" s="22">
        <f>IF(設定!C34=0,"",設定!C34)</f>
        <v>4</v>
      </c>
      <c r="B33" s="22">
        <f>IF(設定!D34=0,"",設定!D34)</f>
        <v>24</v>
      </c>
      <c r="C33" s="17" t="str">
        <f t="shared" si="0"/>
        <v>木</v>
      </c>
      <c r="D33" s="23"/>
      <c r="E33" s="24" t="str">
        <f t="shared" si="1"/>
        <v/>
      </c>
      <c r="F33" s="25"/>
      <c r="G33" s="26"/>
      <c r="H33" s="27">
        <f>IF(G33="",0,設定!$M$23)</f>
        <v>0</v>
      </c>
      <c r="I33" s="40">
        <f t="shared" si="2"/>
        <v>0</v>
      </c>
      <c r="J33" s="40">
        <f>IF(D33=1,IF(IF(G33-設定!$M$20&lt;0,0,G33-設定!$M$20)&gt;設定!$R$44,設定!$R$44,IF(G33-設定!$M$20&lt;0,0,G33-設定!$M$20)),0)</f>
        <v>0</v>
      </c>
      <c r="K33" s="136"/>
      <c r="L33" s="134"/>
      <c r="M33" s="135"/>
    </row>
    <row r="34" spans="1:13" ht="18.75" customHeight="1">
      <c r="A34" s="22">
        <f>IF(設定!C35=0,"",設定!C35)</f>
        <v>4</v>
      </c>
      <c r="B34" s="16">
        <f>IF(設定!D35=0,"",設定!D35)</f>
        <v>25</v>
      </c>
      <c r="C34" s="17" t="str">
        <f t="shared" si="0"/>
        <v>金</v>
      </c>
      <c r="D34" s="23"/>
      <c r="E34" s="24" t="str">
        <f t="shared" si="1"/>
        <v/>
      </c>
      <c r="F34" s="25"/>
      <c r="G34" s="26"/>
      <c r="H34" s="27">
        <f>IF(G34="",0,設定!$M$23)</f>
        <v>0</v>
      </c>
      <c r="I34" s="40">
        <f t="shared" si="2"/>
        <v>0</v>
      </c>
      <c r="J34" s="40">
        <f>IF(D34=1,IF(IF(G34-設定!$M$20&lt;0,0,G34-設定!$M$20)&gt;設定!$R$44,設定!$R$44,IF(G34-設定!$M$20&lt;0,0,G34-設定!$M$20)),0)</f>
        <v>0</v>
      </c>
      <c r="K34" s="136"/>
      <c r="L34" s="134"/>
      <c r="M34" s="135"/>
    </row>
    <row r="35" spans="1:13" ht="18.75" customHeight="1">
      <c r="A35" s="22">
        <f>IF(設定!C36=0,"",設定!C36)</f>
        <v>4</v>
      </c>
      <c r="B35" s="22">
        <f>IF(設定!D36=0,"",設定!D36)</f>
        <v>26</v>
      </c>
      <c r="C35" s="17" t="str">
        <f t="shared" si="0"/>
        <v>土</v>
      </c>
      <c r="D35" s="23"/>
      <c r="E35" s="24" t="str">
        <f t="shared" si="1"/>
        <v/>
      </c>
      <c r="F35" s="25"/>
      <c r="G35" s="26"/>
      <c r="H35" s="27">
        <f>IF(G35="",0,設定!$M$23)</f>
        <v>0</v>
      </c>
      <c r="I35" s="40">
        <f t="shared" si="2"/>
        <v>0</v>
      </c>
      <c r="J35" s="40">
        <f>IF(D35=1,IF(IF(G35-設定!$M$20&lt;0,0,G35-設定!$M$20)&gt;設定!$R$44,設定!$R$44,IF(G35-設定!$M$20&lt;0,0,G35-設定!$M$20)),0)</f>
        <v>0</v>
      </c>
      <c r="K35" s="136"/>
      <c r="L35" s="134"/>
      <c r="M35" s="135"/>
    </row>
    <row r="36" spans="1:13" ht="22.5" customHeight="1">
      <c r="A36" s="22">
        <f>IF(設定!C37=0,"",設定!C37)</f>
        <v>4</v>
      </c>
      <c r="B36" s="16">
        <f>IF(設定!D37=0,"",設定!D37)</f>
        <v>27</v>
      </c>
      <c r="C36" s="17" t="str">
        <f t="shared" si="0"/>
        <v>日</v>
      </c>
      <c r="D36" s="23"/>
      <c r="E36" s="24" t="str">
        <f t="shared" si="1"/>
        <v/>
      </c>
      <c r="F36" s="25"/>
      <c r="G36" s="26"/>
      <c r="H36" s="27">
        <f>IF(G36="",0,設定!$M$23)</f>
        <v>0</v>
      </c>
      <c r="I36" s="40">
        <f t="shared" si="2"/>
        <v>0</v>
      </c>
      <c r="J36" s="40">
        <f>IF(D36=1,IF(IF(G36-設定!$M$20&lt;0,0,G36-設定!$M$20)&gt;設定!$R$44,設定!$R$44,IF(G36-設定!$M$20&lt;0,0,G36-設定!$M$20)),0)</f>
        <v>0</v>
      </c>
      <c r="K36" s="133"/>
      <c r="L36" s="134"/>
      <c r="M36" s="135"/>
    </row>
    <row r="37" spans="1:13" ht="18.75" customHeight="1">
      <c r="A37" s="22">
        <f>IF(設定!C38=0,"",設定!C38)</f>
        <v>4</v>
      </c>
      <c r="B37" s="22">
        <f>IF(設定!D38=0,"",設定!D38)</f>
        <v>28</v>
      </c>
      <c r="C37" s="17" t="str">
        <f t="shared" si="0"/>
        <v>月</v>
      </c>
      <c r="D37" s="23"/>
      <c r="E37" s="24" t="str">
        <f t="shared" si="1"/>
        <v/>
      </c>
      <c r="F37" s="25"/>
      <c r="G37" s="26"/>
      <c r="H37" s="27">
        <f>IF(G37="",0,設定!$M$23)</f>
        <v>0</v>
      </c>
      <c r="I37" s="40">
        <f t="shared" si="2"/>
        <v>0</v>
      </c>
      <c r="J37" s="40">
        <f>IF(D37=1,IF(IF(G37-設定!$M$20&lt;0,0,G37-設定!$M$20)&gt;設定!$R$44,設定!$R$44,IF(G37-設定!$M$20&lt;0,0,G37-設定!$M$20)),0)</f>
        <v>0</v>
      </c>
      <c r="K37" s="136"/>
      <c r="L37" s="134"/>
      <c r="M37" s="135"/>
    </row>
    <row r="38" spans="1:13" ht="18.75" customHeight="1">
      <c r="A38" s="22">
        <f>IF(設定!C39=0,"",設定!C39)</f>
        <v>4</v>
      </c>
      <c r="B38" s="16">
        <f>IF(設定!D39=0,"",設定!D39)</f>
        <v>29</v>
      </c>
      <c r="C38" s="17" t="str">
        <f t="shared" si="0"/>
        <v>火</v>
      </c>
      <c r="D38" s="23"/>
      <c r="E38" s="24" t="str">
        <f t="shared" si="1"/>
        <v/>
      </c>
      <c r="F38" s="25"/>
      <c r="G38" s="26"/>
      <c r="H38" s="27">
        <f>IF(G38="",0,設定!$M$23)</f>
        <v>0</v>
      </c>
      <c r="I38" s="40">
        <f t="shared" si="2"/>
        <v>0</v>
      </c>
      <c r="J38" s="40">
        <f>IF(D38=1,IF(IF(G38-設定!$M$20&lt;0,0,G38-設定!$M$20)&gt;設定!$R$44,設定!$R$44,IF(G38-設定!$M$20&lt;0,0,G38-設定!$M$20)),0)</f>
        <v>0</v>
      </c>
      <c r="K38" s="136"/>
      <c r="L38" s="134"/>
      <c r="M38" s="135"/>
    </row>
    <row r="39" spans="1:13" ht="18" customHeight="1">
      <c r="A39" s="22">
        <f>IF(設定!C40=0,"",設定!C40)</f>
        <v>4</v>
      </c>
      <c r="B39" s="16">
        <f>IF(設定!D40=0,"",設定!D40)</f>
        <v>30</v>
      </c>
      <c r="C39" s="17" t="str">
        <f t="shared" si="0"/>
        <v>水</v>
      </c>
      <c r="D39" s="23"/>
      <c r="E39" s="24" t="str">
        <f t="shared" si="1"/>
        <v/>
      </c>
      <c r="F39" s="25"/>
      <c r="G39" s="26"/>
      <c r="H39" s="27">
        <f>IF(G39="",0,設定!$M$23)</f>
        <v>0</v>
      </c>
      <c r="I39" s="40">
        <f t="shared" si="2"/>
        <v>0</v>
      </c>
      <c r="J39" s="40">
        <f>IF(D39=1,IF(IF(G39-設定!$M$20&lt;0,0,G39-設定!$M$20)&gt;設定!$R$44,設定!$R$44,IF(G39-設定!$M$20&lt;0,0,G39-設定!$M$20)),0)</f>
        <v>0</v>
      </c>
      <c r="K39" s="133"/>
      <c r="L39" s="134"/>
      <c r="M39" s="135"/>
    </row>
    <row r="40" spans="1:13" ht="18.75" customHeight="1">
      <c r="A40" s="22" t="str">
        <f>IF(設定!C41=0,"",設定!C41)</f>
        <v/>
      </c>
      <c r="B40" s="16" t="str">
        <f>IF(設定!D41=0,"",設定!D41)</f>
        <v/>
      </c>
      <c r="C40" s="17" t="str">
        <f t="shared" si="0"/>
        <v/>
      </c>
      <c r="D40" s="23"/>
      <c r="E40" s="24" t="str">
        <f t="shared" si="1"/>
        <v/>
      </c>
      <c r="F40" s="25"/>
      <c r="G40" s="26"/>
      <c r="H40" s="27">
        <f>IF(G40="",0,設定!$M$23)</f>
        <v>0</v>
      </c>
      <c r="I40" s="40">
        <f t="shared" si="2"/>
        <v>0</v>
      </c>
      <c r="J40" s="40">
        <f>IF(D40=1,IF(IF(G40-設定!$M$20&lt;0,0,G40-設定!$M$20)&gt;設定!$R$44,設定!$R$44,IF(G40-設定!$M$20&lt;0,0,G40-設定!$M$20)),0)</f>
        <v>0</v>
      </c>
      <c r="K40" s="136"/>
      <c r="L40" s="134"/>
      <c r="M40" s="135"/>
    </row>
    <row r="41" spans="1:13" ht="18.75" customHeight="1" thickBot="1">
      <c r="A41" s="22" t="str">
        <f>IF(設定!C42=0,"",設定!C42)</f>
        <v/>
      </c>
      <c r="B41" s="16" t="str">
        <f>IF(設定!D42=0,"",設定!D42)</f>
        <v/>
      </c>
      <c r="C41" s="17" t="str">
        <f t="shared" si="0"/>
        <v/>
      </c>
      <c r="D41" s="28"/>
      <c r="E41" s="29" t="str">
        <f t="shared" si="1"/>
        <v/>
      </c>
      <c r="F41" s="30"/>
      <c r="G41" s="31"/>
      <c r="H41" s="27">
        <f>IF(G41="",0,設定!$M$23)</f>
        <v>0</v>
      </c>
      <c r="I41" s="40">
        <f t="shared" si="2"/>
        <v>0</v>
      </c>
      <c r="J41" s="42">
        <f>IF(D41=1,IF(IF(G41-設定!$M$20&lt;0,0,G41-設定!$M$20)&gt;設定!$R$44,設定!$R$44,IF(G41-設定!$M$20&lt;0,0,G41-設定!$M$20)),0)</f>
        <v>0</v>
      </c>
      <c r="K41" s="125"/>
      <c r="L41" s="126"/>
      <c r="M41" s="127"/>
    </row>
    <row r="42" spans="1:13" ht="18.75" customHeight="1">
      <c r="A42" s="32"/>
      <c r="B42" s="33"/>
      <c r="C42" s="33"/>
      <c r="D42" s="34"/>
      <c r="E42" s="33"/>
      <c r="F42" s="34"/>
      <c r="G42" s="34"/>
      <c r="H42" s="35"/>
      <c r="I42" s="43">
        <f>SUM(I10:I41)</f>
        <v>0</v>
      </c>
      <c r="J42" s="43">
        <f t="shared" ref="J42" si="3">SUM(J10:J41)</f>
        <v>0</v>
      </c>
      <c r="K42" s="128"/>
      <c r="L42" s="129"/>
      <c r="M42" s="130"/>
    </row>
  </sheetData>
  <mergeCells count="39">
    <mergeCell ref="K9:M9"/>
    <mergeCell ref="A1:B1"/>
    <mergeCell ref="D1:E1"/>
    <mergeCell ref="D4:F5"/>
    <mergeCell ref="D6:F7"/>
    <mergeCell ref="D9:E9"/>
    <mergeCell ref="K21:M21"/>
    <mergeCell ref="K10:M10"/>
    <mergeCell ref="K11:M11"/>
    <mergeCell ref="K12:M12"/>
    <mergeCell ref="K13:M13"/>
    <mergeCell ref="K14:M14"/>
    <mergeCell ref="K15:M15"/>
    <mergeCell ref="K16:M16"/>
    <mergeCell ref="K17:M17"/>
    <mergeCell ref="K18:M18"/>
    <mergeCell ref="K19:M19"/>
    <mergeCell ref="K20:M20"/>
    <mergeCell ref="K33:M33"/>
    <mergeCell ref="K22:M22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40:M40"/>
    <mergeCell ref="K41:M41"/>
    <mergeCell ref="K42:M42"/>
    <mergeCell ref="K34:M34"/>
    <mergeCell ref="K35:M35"/>
    <mergeCell ref="K36:M36"/>
    <mergeCell ref="K37:M37"/>
    <mergeCell ref="K38:M38"/>
    <mergeCell ref="K39:M39"/>
  </mergeCells>
  <conditionalFormatting sqref="C39:C41">
    <cfRule type="containsText" dxfId="4" priority="1" operator="containsText" text="日">
      <formula>NOT(ISERROR(SEARCH("日",C39)))</formula>
    </cfRule>
    <cfRule type="containsText" dxfId="3" priority="2" operator="containsText" text="土">
      <formula>NOT(ISERROR(SEARCH("土",C39)))</formula>
    </cfRule>
  </conditionalFormatting>
  <conditionalFormatting sqref="D39:E41 C11:E38 C10 E10">
    <cfRule type="containsText" dxfId="2" priority="4" operator="containsText" text="日">
      <formula>NOT(ISERROR(SEARCH("日",C10)))</formula>
    </cfRule>
    <cfRule type="containsText" dxfId="1" priority="5" operator="containsText" text="土">
      <formula>NOT(ISERROR(SEARCH("土",C10)))</formula>
    </cfRule>
  </conditionalFormatting>
  <conditionalFormatting sqref="H10:J41">
    <cfRule type="cellIs" dxfId="0" priority="3" operator="equal">
      <formula>0</formula>
    </cfRule>
  </conditionalFormatting>
  <printOptions horizontalCentered="1"/>
  <pageMargins left="0.196850393700787" right="0.196850393700787" top="0.511811023622047" bottom="0.511811023622047" header="0.196850393700787" footer="0.196850393700787"/>
  <pageSetup paperSize="9" orientation="portrait"/>
  <headerFooter>
    <oddFooter>&amp;R&amp;P&amp;[/&amp;N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102</vt:i4>
      </vt:variant>
    </vt:vector>
  </HeadingPairs>
  <TitlesOfParts>
    <vt:vector size="155" baseType="lpstr">
      <vt:lpstr>使用方法</vt:lpstr>
      <vt:lpstr>設定</vt:lpstr>
      <vt:lpstr>勤怠管理表</vt:lpstr>
      <vt:lpstr>Hoang Duc Huy</vt:lpstr>
      <vt:lpstr>Duong Van Thanh</vt:lpstr>
      <vt:lpstr>Bui Khanh Huy</vt:lpstr>
      <vt:lpstr>Huynh Anh Du</vt:lpstr>
      <vt:lpstr>Nguyen Tan Quyen</vt:lpstr>
      <vt:lpstr>Tran Nhat Khue</vt:lpstr>
      <vt:lpstr>Phan Thi My Linh</vt:lpstr>
      <vt:lpstr>Truong Nguyen Yen Ly</vt:lpstr>
      <vt:lpstr>Doan Tu Quynh</vt:lpstr>
      <vt:lpstr>Do Ngoc Quang</vt:lpstr>
      <vt:lpstr>Pham Van Duy</vt:lpstr>
      <vt:lpstr>Nguyen Cong Hiep</vt:lpstr>
      <vt:lpstr>Truong Trong Thanh</vt:lpstr>
      <vt:lpstr>Vo Thanh Phong</vt:lpstr>
      <vt:lpstr>Hoang Thi Loc</vt:lpstr>
      <vt:lpstr>Nguyen Hong Tu</vt:lpstr>
      <vt:lpstr>Phan Minh Tri</vt:lpstr>
      <vt:lpstr>Do Thanh Tai</vt:lpstr>
      <vt:lpstr>Dinh Phuong Nam</vt:lpstr>
      <vt:lpstr>Nguyen Thi Tuyet Nhung</vt:lpstr>
      <vt:lpstr>Hoang Thi Bao Tran</vt:lpstr>
      <vt:lpstr>Khong Huu Toan</vt:lpstr>
      <vt:lpstr>Nguyen Le Phu Thinh</vt:lpstr>
      <vt:lpstr>Le Thi Yen Nguyet</vt:lpstr>
      <vt:lpstr>Nguyen Tran Hoai Phong</vt:lpstr>
      <vt:lpstr>Doan Thi Truc Quyen</vt:lpstr>
      <vt:lpstr>Ta Ly Minh</vt:lpstr>
      <vt:lpstr>Le Cao Tuan Anh</vt:lpstr>
      <vt:lpstr>Nguyen Phuoc Hao</vt:lpstr>
      <vt:lpstr>Nguyen Chi Linh</vt:lpstr>
      <vt:lpstr>Hoang Quoc Tu</vt:lpstr>
      <vt:lpstr>Le Trach Dinh</vt:lpstr>
      <vt:lpstr>Nguyen Thien An</vt:lpstr>
      <vt:lpstr>Nguyen Trieu Duong</vt:lpstr>
      <vt:lpstr>Nguyen Hai Yen</vt:lpstr>
      <vt:lpstr>Do Van Vinh</vt:lpstr>
      <vt:lpstr>Nguyen Anh Kiet</vt:lpstr>
      <vt:lpstr>Le Van Quy</vt:lpstr>
      <vt:lpstr>Nguyen Duc Thien</vt:lpstr>
      <vt:lpstr>Le Tien Hai</vt:lpstr>
      <vt:lpstr>Nguyen Phuc Nguyen Chuong</vt:lpstr>
      <vt:lpstr>Le Anh Duy</vt:lpstr>
      <vt:lpstr>Tran Chi My</vt:lpstr>
      <vt:lpstr>Nguyen Van Hao</vt:lpstr>
      <vt:lpstr>Bui The Hung</vt:lpstr>
      <vt:lpstr>Nguyen Dung</vt:lpstr>
      <vt:lpstr>Tran Thai Duy</vt:lpstr>
      <vt:lpstr>Dang Trong Phu</vt:lpstr>
      <vt:lpstr>Nguyen Chi Bao</vt:lpstr>
      <vt:lpstr>Phan Vu Hoang Ngan</vt:lpstr>
      <vt:lpstr>'Bui Khanh Huy'!Print_Area</vt:lpstr>
      <vt:lpstr>'Bui The Hung'!Print_Area</vt:lpstr>
      <vt:lpstr>'Dang Trong Phu'!Print_Area</vt:lpstr>
      <vt:lpstr>'Dinh Phuong Nam'!Print_Area</vt:lpstr>
      <vt:lpstr>'Do Ngoc Quang'!Print_Area</vt:lpstr>
      <vt:lpstr>'Do Thanh Tai'!Print_Area</vt:lpstr>
      <vt:lpstr>'Do Van Vinh'!Print_Area</vt:lpstr>
      <vt:lpstr>'Doan Thi Truc Quyen'!Print_Area</vt:lpstr>
      <vt:lpstr>'Doan Tu Quynh'!Print_Area</vt:lpstr>
      <vt:lpstr>'Duong Van Thanh'!Print_Area</vt:lpstr>
      <vt:lpstr>'Hoang Duc Huy'!Print_Area</vt:lpstr>
      <vt:lpstr>'Hoang Quoc Tu'!Print_Area</vt:lpstr>
      <vt:lpstr>'Hoang Thi Bao Tran'!Print_Area</vt:lpstr>
      <vt:lpstr>'Hoang Thi Loc'!Print_Area</vt:lpstr>
      <vt:lpstr>'Huynh Anh Du'!Print_Area</vt:lpstr>
      <vt:lpstr>'Khong Huu Toan'!Print_Area</vt:lpstr>
      <vt:lpstr>'Le Anh Duy'!Print_Area</vt:lpstr>
      <vt:lpstr>'Le Cao Tuan Anh'!Print_Area</vt:lpstr>
      <vt:lpstr>'Le Thi Yen Nguyet'!Print_Area</vt:lpstr>
      <vt:lpstr>'Le Tien Hai'!Print_Area</vt:lpstr>
      <vt:lpstr>'Le Trach Dinh'!Print_Area</vt:lpstr>
      <vt:lpstr>'Le Van Quy'!Print_Area</vt:lpstr>
      <vt:lpstr>'Nguyen Anh Kiet'!Print_Area</vt:lpstr>
      <vt:lpstr>'Nguyen Chi Bao'!Print_Area</vt:lpstr>
      <vt:lpstr>'Nguyen Chi Linh'!Print_Area</vt:lpstr>
      <vt:lpstr>'Nguyen Cong Hiep'!Print_Area</vt:lpstr>
      <vt:lpstr>'Nguyen Duc Thien'!Print_Area</vt:lpstr>
      <vt:lpstr>'Nguyen Dung'!Print_Area</vt:lpstr>
      <vt:lpstr>'Nguyen Hai Yen'!Print_Area</vt:lpstr>
      <vt:lpstr>'Nguyen Hong Tu'!Print_Area</vt:lpstr>
      <vt:lpstr>'Nguyen Le Phu Thinh'!Print_Area</vt:lpstr>
      <vt:lpstr>'Nguyen Phuc Nguyen Chuong'!Print_Area</vt:lpstr>
      <vt:lpstr>'Nguyen Phuoc Hao'!Print_Area</vt:lpstr>
      <vt:lpstr>'Nguyen Tan Quyen'!Print_Area</vt:lpstr>
      <vt:lpstr>'Nguyen Thi Tuyet Nhung'!Print_Area</vt:lpstr>
      <vt:lpstr>'Nguyen Thien An'!Print_Area</vt:lpstr>
      <vt:lpstr>'Nguyen Tran Hoai Phong'!Print_Area</vt:lpstr>
      <vt:lpstr>'Nguyen Trieu Duong'!Print_Area</vt:lpstr>
      <vt:lpstr>'Nguyen Van Hao'!Print_Area</vt:lpstr>
      <vt:lpstr>'Pham Van Duy'!Print_Area</vt:lpstr>
      <vt:lpstr>'Phan Minh Tri'!Print_Area</vt:lpstr>
      <vt:lpstr>'Phan Thi My Linh'!Print_Area</vt:lpstr>
      <vt:lpstr>'Phan Vu Hoang Ngan'!Print_Area</vt:lpstr>
      <vt:lpstr>'Ta Ly Minh'!Print_Area</vt:lpstr>
      <vt:lpstr>'Tran Chi My'!Print_Area</vt:lpstr>
      <vt:lpstr>'Tran Nhat Khue'!Print_Area</vt:lpstr>
      <vt:lpstr>'Tran Thai Duy'!Print_Area</vt:lpstr>
      <vt:lpstr>'Truong Nguyen Yen Ly'!Print_Area</vt:lpstr>
      <vt:lpstr>'Truong Trong Thanh'!Print_Area</vt:lpstr>
      <vt:lpstr>'Vo Thanh Phong'!Print_Area</vt:lpstr>
      <vt:lpstr>勤怠管理表!Print_Area</vt:lpstr>
      <vt:lpstr>'Bui Khanh Huy'!Print_Titles</vt:lpstr>
      <vt:lpstr>'Bui The Hung'!Print_Titles</vt:lpstr>
      <vt:lpstr>'Dang Trong Phu'!Print_Titles</vt:lpstr>
      <vt:lpstr>'Dinh Phuong Nam'!Print_Titles</vt:lpstr>
      <vt:lpstr>'Do Ngoc Quang'!Print_Titles</vt:lpstr>
      <vt:lpstr>'Do Thanh Tai'!Print_Titles</vt:lpstr>
      <vt:lpstr>'Do Van Vinh'!Print_Titles</vt:lpstr>
      <vt:lpstr>'Doan Thi Truc Quyen'!Print_Titles</vt:lpstr>
      <vt:lpstr>'Doan Tu Quynh'!Print_Titles</vt:lpstr>
      <vt:lpstr>'Duong Van Thanh'!Print_Titles</vt:lpstr>
      <vt:lpstr>'Hoang Duc Huy'!Print_Titles</vt:lpstr>
      <vt:lpstr>'Hoang Quoc Tu'!Print_Titles</vt:lpstr>
      <vt:lpstr>'Hoang Thi Bao Tran'!Print_Titles</vt:lpstr>
      <vt:lpstr>'Hoang Thi Loc'!Print_Titles</vt:lpstr>
      <vt:lpstr>'Huynh Anh Du'!Print_Titles</vt:lpstr>
      <vt:lpstr>'Khong Huu Toan'!Print_Titles</vt:lpstr>
      <vt:lpstr>'Le Anh Duy'!Print_Titles</vt:lpstr>
      <vt:lpstr>'Le Cao Tuan Anh'!Print_Titles</vt:lpstr>
      <vt:lpstr>'Le Thi Yen Nguyet'!Print_Titles</vt:lpstr>
      <vt:lpstr>'Le Tien Hai'!Print_Titles</vt:lpstr>
      <vt:lpstr>'Le Trach Dinh'!Print_Titles</vt:lpstr>
      <vt:lpstr>'Le Van Quy'!Print_Titles</vt:lpstr>
      <vt:lpstr>'Nguyen Anh Kiet'!Print_Titles</vt:lpstr>
      <vt:lpstr>'Nguyen Chi Bao'!Print_Titles</vt:lpstr>
      <vt:lpstr>'Nguyen Chi Linh'!Print_Titles</vt:lpstr>
      <vt:lpstr>'Nguyen Cong Hiep'!Print_Titles</vt:lpstr>
      <vt:lpstr>'Nguyen Duc Thien'!Print_Titles</vt:lpstr>
      <vt:lpstr>'Nguyen Dung'!Print_Titles</vt:lpstr>
      <vt:lpstr>'Nguyen Hai Yen'!Print_Titles</vt:lpstr>
      <vt:lpstr>'Nguyen Hong Tu'!Print_Titles</vt:lpstr>
      <vt:lpstr>'Nguyen Le Phu Thinh'!Print_Titles</vt:lpstr>
      <vt:lpstr>'Nguyen Phuc Nguyen Chuong'!Print_Titles</vt:lpstr>
      <vt:lpstr>'Nguyen Phuoc Hao'!Print_Titles</vt:lpstr>
      <vt:lpstr>'Nguyen Tan Quyen'!Print_Titles</vt:lpstr>
      <vt:lpstr>'Nguyen Thi Tuyet Nhung'!Print_Titles</vt:lpstr>
      <vt:lpstr>'Nguyen Thien An'!Print_Titles</vt:lpstr>
      <vt:lpstr>'Nguyen Tran Hoai Phong'!Print_Titles</vt:lpstr>
      <vt:lpstr>'Nguyen Trieu Duong'!Print_Titles</vt:lpstr>
      <vt:lpstr>'Nguyen Van Hao'!Print_Titles</vt:lpstr>
      <vt:lpstr>'Pham Van Duy'!Print_Titles</vt:lpstr>
      <vt:lpstr>'Phan Minh Tri'!Print_Titles</vt:lpstr>
      <vt:lpstr>'Phan Thi My Linh'!Print_Titles</vt:lpstr>
      <vt:lpstr>'Phan Vu Hoang Ngan'!Print_Titles</vt:lpstr>
      <vt:lpstr>'Ta Ly Minh'!Print_Titles</vt:lpstr>
      <vt:lpstr>'Tran Chi My'!Print_Titles</vt:lpstr>
      <vt:lpstr>'Tran Nhat Khue'!Print_Titles</vt:lpstr>
      <vt:lpstr>'Tran Thai Duy'!Print_Titles</vt:lpstr>
      <vt:lpstr>'Truong Nguyen Yen Ly'!Print_Titles</vt:lpstr>
      <vt:lpstr>'Truong Trong Thanh'!Print_Titles</vt:lpstr>
      <vt:lpstr>'Vo Thanh Phong'!Print_Titles</vt:lpstr>
      <vt:lpstr>勤怠管理表!Print_Titles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MinhDNT</dc:creator>
  <cp:lastModifiedBy>nhungNVA</cp:lastModifiedBy>
  <cp:lastPrinted>2017-08-25T10:52:00Z</cp:lastPrinted>
  <dcterms:created xsi:type="dcterms:W3CDTF">2013-01-21T06:51:00Z</dcterms:created>
  <dcterms:modified xsi:type="dcterms:W3CDTF">2025-04-01T07:00:22Z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1033-11.2.0.9085</vt:lpwstr>
  </property>
</Properties>
</file>